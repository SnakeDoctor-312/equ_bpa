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deliberto\Desktop\equ_bpa\"/>
    </mc:Choice>
  </mc:AlternateContent>
  <bookViews>
    <workbookView xWindow="0" yWindow="0" windowWidth="18000" windowHeight="16770" tabRatio="795"/>
  </bookViews>
  <sheets>
    <sheet name="Clients" sheetId="1" r:id="rId1"/>
    <sheet name="CompanyIDs" sheetId="36" r:id="rId2"/>
    <sheet name="Freq Lookup" sheetId="35" r:id="rId3"/>
    <sheet name="Tasks" sheetId="3" r:id="rId4"/>
    <sheet name="ABM" sheetId="6" r:id="rId5"/>
    <sheet name="ADT" sheetId="8" r:id="rId6"/>
    <sheet name="AEP" sheetId="9" r:id="rId7"/>
    <sheet name="ARC" sheetId="37" r:id="rId8"/>
    <sheet name="BC" sheetId="10" r:id="rId9"/>
    <sheet name="BTS" sheetId="11" r:id="rId10"/>
    <sheet name="CPS" sheetId="13" r:id="rId11"/>
    <sheet name="EAS" sheetId="14" r:id="rId12"/>
    <sheet name="EFG" sheetId="15" r:id="rId13"/>
    <sheet name="ERG" sheetId="16" r:id="rId14"/>
    <sheet name="FEC" sheetId="17" r:id="rId15"/>
    <sheet name="FSD" sheetId="18" r:id="rId16"/>
    <sheet name="JGR" sheetId="19" r:id="rId17"/>
    <sheet name="KBH" sheetId="20" r:id="rId18"/>
    <sheet name="KII" sheetId="21" r:id="rId19"/>
    <sheet name="LSM" sheetId="22" r:id="rId20"/>
    <sheet name="MND" sheetId="23" r:id="rId21"/>
    <sheet name="RSB" sheetId="24" r:id="rId22"/>
    <sheet name="SOS" sheetId="25" r:id="rId23"/>
    <sheet name="SST" sheetId="33" r:id="rId24"/>
    <sheet name="TGI" sheetId="26" r:id="rId25"/>
    <sheet name="TPS" sheetId="27" r:id="rId26"/>
    <sheet name="USF" sheetId="28" r:id="rId27"/>
    <sheet name="USW" sheetId="29" r:id="rId28"/>
    <sheet name="VLT" sheetId="30" r:id="rId29"/>
    <sheet name="WMD" sheetId="31" r:id="rId30"/>
  </sheets>
  <externalReferences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</externalReferences>
  <definedNames>
    <definedName name="_xlnm._FilterDatabase" localSheetId="0" hidden="1">Clients!$A$1:$F$31</definedName>
    <definedName name="_xlnm._FilterDatabase" localSheetId="3" hidden="1">Tasks!$A$1:$D$56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30" l="1"/>
  <c r="G9" i="31"/>
  <c r="G10" i="31"/>
  <c r="F10" i="31"/>
  <c r="E10" i="31"/>
  <c r="D10" i="31"/>
  <c r="G14" i="30"/>
  <c r="F14" i="30"/>
  <c r="E14" i="30"/>
  <c r="D14" i="30"/>
  <c r="G7" i="29"/>
  <c r="F7" i="29"/>
  <c r="E7" i="29"/>
  <c r="D7" i="29"/>
  <c r="G25" i="28"/>
  <c r="F25" i="28"/>
  <c r="E25" i="28"/>
  <c r="D25" i="28"/>
  <c r="G22" i="27"/>
  <c r="F22" i="27"/>
  <c r="E22" i="27"/>
  <c r="D22" i="27"/>
  <c r="G22" i="26"/>
  <c r="F22" i="26"/>
  <c r="E22" i="26"/>
  <c r="D22" i="26"/>
  <c r="G23" i="33"/>
  <c r="F23" i="33"/>
  <c r="E23" i="33"/>
  <c r="D23" i="33"/>
  <c r="G12" i="25"/>
  <c r="F12" i="25"/>
  <c r="E12" i="25"/>
  <c r="D12" i="25"/>
  <c r="G17" i="24"/>
  <c r="F17" i="24"/>
  <c r="E17" i="24"/>
  <c r="D17" i="24"/>
  <c r="D16" i="24"/>
  <c r="E16" i="24"/>
  <c r="F16" i="24"/>
  <c r="G16" i="24"/>
  <c r="G14" i="23"/>
  <c r="F14" i="23"/>
  <c r="E14" i="23"/>
  <c r="D14" i="23"/>
  <c r="G20" i="22"/>
  <c r="F20" i="22"/>
  <c r="E20" i="22"/>
  <c r="D20" i="22"/>
  <c r="G23" i="21"/>
  <c r="F23" i="21"/>
  <c r="E23" i="21"/>
  <c r="D23" i="21"/>
  <c r="G21" i="20"/>
  <c r="F21" i="20"/>
  <c r="E21" i="20"/>
  <c r="D21" i="20"/>
  <c r="G9" i="19"/>
  <c r="F9" i="19"/>
  <c r="E9" i="19"/>
  <c r="D9" i="19"/>
  <c r="G23" i="18"/>
  <c r="F23" i="18"/>
  <c r="E23" i="18"/>
  <c r="D23" i="18"/>
  <c r="G25" i="17"/>
  <c r="F25" i="17"/>
  <c r="E25" i="17"/>
  <c r="D25" i="17"/>
  <c r="G19" i="16"/>
  <c r="F19" i="16"/>
  <c r="E19" i="16"/>
  <c r="D19" i="16"/>
  <c r="G26" i="15"/>
  <c r="F26" i="15"/>
  <c r="E26" i="15"/>
  <c r="D26" i="15"/>
  <c r="G22" i="14"/>
  <c r="F22" i="14"/>
  <c r="E22" i="14"/>
  <c r="D22" i="14"/>
  <c r="G18" i="13"/>
  <c r="F18" i="13"/>
  <c r="E18" i="13"/>
  <c r="D18" i="13"/>
  <c r="G25" i="10"/>
  <c r="F25" i="10"/>
  <c r="E25" i="10"/>
  <c r="D25" i="10"/>
  <c r="G24" i="37"/>
  <c r="F24" i="37"/>
  <c r="E24" i="37"/>
  <c r="D24" i="37"/>
  <c r="G24" i="9"/>
  <c r="F24" i="9"/>
  <c r="E24" i="9"/>
  <c r="D24" i="9"/>
  <c r="G14" i="8"/>
  <c r="F14" i="8"/>
  <c r="E14" i="8"/>
  <c r="D14" i="8"/>
  <c r="D11" i="6"/>
  <c r="G11" i="31" l="1"/>
  <c r="F11" i="31"/>
  <c r="E11" i="31"/>
  <c r="D11" i="31"/>
  <c r="G15" i="30"/>
  <c r="F15" i="30"/>
  <c r="E15" i="30"/>
  <c r="D15" i="30"/>
  <c r="G8" i="29"/>
  <c r="F8" i="29"/>
  <c r="E8" i="29"/>
  <c r="D8" i="29"/>
  <c r="G26" i="28"/>
  <c r="F26" i="28"/>
  <c r="E26" i="28"/>
  <c r="D26" i="28"/>
  <c r="G23" i="27"/>
  <c r="F23" i="27"/>
  <c r="E23" i="27"/>
  <c r="D23" i="27"/>
  <c r="G23" i="26"/>
  <c r="F23" i="26"/>
  <c r="E23" i="26"/>
  <c r="D23" i="26"/>
  <c r="G25" i="33"/>
  <c r="F25" i="33"/>
  <c r="E25" i="33"/>
  <c r="D25" i="33"/>
  <c r="G13" i="25"/>
  <c r="F13" i="25"/>
  <c r="E13" i="25"/>
  <c r="D13" i="25"/>
  <c r="G15" i="23"/>
  <c r="F15" i="23"/>
  <c r="E15" i="23"/>
  <c r="D15" i="23"/>
  <c r="G21" i="22"/>
  <c r="F21" i="22"/>
  <c r="E21" i="22"/>
  <c r="D21" i="22"/>
  <c r="G24" i="21"/>
  <c r="F24" i="21"/>
  <c r="E24" i="21"/>
  <c r="D24" i="21"/>
  <c r="G22" i="20"/>
  <c r="F22" i="20"/>
  <c r="E22" i="20"/>
  <c r="D22" i="20"/>
  <c r="G10" i="19"/>
  <c r="F10" i="19"/>
  <c r="E10" i="19"/>
  <c r="D10" i="19"/>
  <c r="G24" i="18"/>
  <c r="F24" i="18"/>
  <c r="E24" i="18"/>
  <c r="D24" i="18"/>
  <c r="G26" i="17"/>
  <c r="F26" i="17"/>
  <c r="E26" i="17"/>
  <c r="D26" i="17"/>
  <c r="G20" i="16"/>
  <c r="F20" i="16"/>
  <c r="E20" i="16"/>
  <c r="D20" i="16"/>
  <c r="G27" i="15"/>
  <c r="F27" i="15"/>
  <c r="E27" i="15"/>
  <c r="D27" i="15"/>
  <c r="G23" i="14"/>
  <c r="F23" i="14"/>
  <c r="E23" i="14"/>
  <c r="D23" i="14"/>
  <c r="G26" i="10"/>
  <c r="F26" i="10"/>
  <c r="E26" i="10"/>
  <c r="D26" i="10"/>
  <c r="G25" i="37"/>
  <c r="F25" i="37"/>
  <c r="E25" i="37"/>
  <c r="D25" i="37"/>
  <c r="G25" i="9"/>
  <c r="F25" i="9"/>
  <c r="E25" i="9"/>
  <c r="D25" i="9"/>
  <c r="G12" i="6"/>
  <c r="F12" i="6"/>
  <c r="E12" i="6"/>
  <c r="D12" i="6"/>
  <c r="G15" i="8"/>
  <c r="F15" i="8"/>
  <c r="E15" i="8"/>
  <c r="D15" i="8"/>
  <c r="G11" i="6"/>
  <c r="F11" i="6"/>
  <c r="E11" i="6"/>
  <c r="F11" i="25"/>
  <c r="E11" i="25"/>
  <c r="D11" i="25"/>
  <c r="F10" i="25"/>
  <c r="E10" i="25"/>
  <c r="D10" i="25"/>
  <c r="F13" i="30"/>
  <c r="E13" i="30"/>
  <c r="D13" i="30"/>
  <c r="F9" i="31"/>
  <c r="E9" i="31"/>
  <c r="D9" i="31"/>
  <c r="G24" i="28"/>
  <c r="F24" i="28"/>
  <c r="G23" i="28"/>
  <c r="F23" i="28"/>
  <c r="G24" i="33"/>
  <c r="F24" i="33"/>
  <c r="G8" i="31"/>
  <c r="F8" i="31"/>
  <c r="G7" i="31"/>
  <c r="F7" i="31"/>
  <c r="G6" i="31"/>
  <c r="F6" i="31"/>
  <c r="G5" i="31"/>
  <c r="F5" i="31"/>
  <c r="G4" i="31"/>
  <c r="F4" i="31"/>
  <c r="G3" i="31"/>
  <c r="F3" i="31"/>
  <c r="G2" i="31"/>
  <c r="F2" i="31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G3" i="30"/>
  <c r="F3" i="30"/>
  <c r="G2" i="30"/>
  <c r="F2" i="30"/>
  <c r="G6" i="29"/>
  <c r="F6" i="29"/>
  <c r="G5" i="29"/>
  <c r="F5" i="29"/>
  <c r="G4" i="29"/>
  <c r="F4" i="29"/>
  <c r="G3" i="29"/>
  <c r="F3" i="29"/>
  <c r="G2" i="29"/>
  <c r="F2" i="29"/>
  <c r="G22" i="28"/>
  <c r="F22" i="28"/>
  <c r="G21" i="28"/>
  <c r="F21" i="28"/>
  <c r="G20" i="28"/>
  <c r="F20" i="28"/>
  <c r="G19" i="28"/>
  <c r="F19" i="28"/>
  <c r="G18" i="28"/>
  <c r="F18" i="28"/>
  <c r="G17" i="28"/>
  <c r="F17" i="28"/>
  <c r="G16" i="28"/>
  <c r="F16" i="28"/>
  <c r="G15" i="28"/>
  <c r="F15" i="28"/>
  <c r="G14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G3" i="28"/>
  <c r="F3" i="28"/>
  <c r="G2" i="28"/>
  <c r="F2" i="28"/>
  <c r="G21" i="27"/>
  <c r="F21" i="27"/>
  <c r="G20" i="27"/>
  <c r="F20" i="27"/>
  <c r="G19" i="27"/>
  <c r="F19" i="27"/>
  <c r="G18" i="27"/>
  <c r="F18" i="27"/>
  <c r="G17" i="27"/>
  <c r="F17" i="27"/>
  <c r="G16" i="27"/>
  <c r="F16" i="27"/>
  <c r="G15" i="27"/>
  <c r="F15" i="27"/>
  <c r="G14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G3" i="27"/>
  <c r="F3" i="27"/>
  <c r="G2" i="27"/>
  <c r="F2" i="27"/>
  <c r="G21" i="26"/>
  <c r="F21" i="26"/>
  <c r="G20" i="26"/>
  <c r="F20" i="26"/>
  <c r="G19" i="26"/>
  <c r="F19" i="26"/>
  <c r="G18" i="26"/>
  <c r="F18" i="26"/>
  <c r="G17" i="26"/>
  <c r="F17" i="26"/>
  <c r="G16" i="26"/>
  <c r="F16" i="26"/>
  <c r="G15" i="26"/>
  <c r="F15" i="26"/>
  <c r="G14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G3" i="26"/>
  <c r="F3" i="26"/>
  <c r="G2" i="26"/>
  <c r="F2" i="26"/>
  <c r="G22" i="33"/>
  <c r="F22" i="33"/>
  <c r="G21" i="33"/>
  <c r="F21" i="33"/>
  <c r="G20" i="33"/>
  <c r="F20" i="33"/>
  <c r="G19" i="33"/>
  <c r="F19" i="33"/>
  <c r="G18" i="33"/>
  <c r="F18" i="33"/>
  <c r="G17" i="33"/>
  <c r="F17" i="33"/>
  <c r="G16" i="33"/>
  <c r="F16" i="33"/>
  <c r="G15" i="33"/>
  <c r="F15" i="33"/>
  <c r="G14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G3" i="33"/>
  <c r="F3" i="33"/>
  <c r="G2" i="33"/>
  <c r="F2" i="33"/>
  <c r="G9" i="25"/>
  <c r="F9" i="25"/>
  <c r="G8" i="25"/>
  <c r="F8" i="25"/>
  <c r="G7" i="25"/>
  <c r="F7" i="25"/>
  <c r="G6" i="25"/>
  <c r="F6" i="25"/>
  <c r="G5" i="25"/>
  <c r="F5" i="25"/>
  <c r="G4" i="25"/>
  <c r="F4" i="25"/>
  <c r="G3" i="25"/>
  <c r="F3" i="25"/>
  <c r="G2" i="25"/>
  <c r="F2" i="25"/>
  <c r="G15" i="24"/>
  <c r="F15" i="24"/>
  <c r="G14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G3" i="24"/>
  <c r="F3" i="24"/>
  <c r="G2" i="24"/>
  <c r="F2" i="24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G3" i="23"/>
  <c r="F3" i="23"/>
  <c r="G2" i="23"/>
  <c r="F2" i="23"/>
  <c r="G19" i="22"/>
  <c r="F19" i="22"/>
  <c r="G18" i="22"/>
  <c r="F18" i="22"/>
  <c r="G17" i="22"/>
  <c r="F17" i="22"/>
  <c r="G16" i="22"/>
  <c r="F16" i="22"/>
  <c r="G15" i="22"/>
  <c r="F15" i="22"/>
  <c r="G14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G3" i="22"/>
  <c r="F3" i="22"/>
  <c r="G2" i="22"/>
  <c r="F2" i="22"/>
  <c r="G22" i="21"/>
  <c r="F22" i="21"/>
  <c r="G21" i="21"/>
  <c r="F21" i="21"/>
  <c r="G20" i="21"/>
  <c r="F20" i="21"/>
  <c r="G19" i="21"/>
  <c r="F19" i="21"/>
  <c r="G18" i="21"/>
  <c r="F18" i="21"/>
  <c r="G17" i="21"/>
  <c r="F17" i="21"/>
  <c r="G16" i="21"/>
  <c r="F16" i="21"/>
  <c r="G15" i="21"/>
  <c r="F15" i="21"/>
  <c r="G14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G3" i="21"/>
  <c r="F3" i="21"/>
  <c r="G2" i="21"/>
  <c r="F2" i="21"/>
  <c r="G20" i="20"/>
  <c r="F20" i="20"/>
  <c r="G19" i="20"/>
  <c r="F19" i="20"/>
  <c r="G18" i="20"/>
  <c r="F18" i="20"/>
  <c r="G17" i="20"/>
  <c r="F17" i="20"/>
  <c r="G16" i="20"/>
  <c r="F16" i="20"/>
  <c r="G15" i="20"/>
  <c r="F15" i="20"/>
  <c r="G14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G3" i="20"/>
  <c r="F3" i="20"/>
  <c r="G2" i="20"/>
  <c r="F2" i="20"/>
  <c r="G8" i="19"/>
  <c r="F8" i="19"/>
  <c r="G7" i="19"/>
  <c r="F7" i="19"/>
  <c r="G6" i="19"/>
  <c r="F6" i="19"/>
  <c r="G5" i="19"/>
  <c r="F5" i="19"/>
  <c r="G4" i="19"/>
  <c r="F4" i="19"/>
  <c r="G3" i="19"/>
  <c r="F3" i="19"/>
  <c r="G2" i="19"/>
  <c r="F2" i="19"/>
  <c r="G22" i="18"/>
  <c r="F22" i="18"/>
  <c r="G21" i="18"/>
  <c r="F21" i="18"/>
  <c r="G20" i="18"/>
  <c r="F20" i="18"/>
  <c r="G19" i="18"/>
  <c r="F19" i="18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G3" i="18"/>
  <c r="F3" i="18"/>
  <c r="G2" i="18"/>
  <c r="F2" i="18"/>
  <c r="G24" i="17"/>
  <c r="F24" i="17"/>
  <c r="G23" i="17"/>
  <c r="F23" i="17"/>
  <c r="G22" i="17"/>
  <c r="F22" i="17"/>
  <c r="G21" i="17"/>
  <c r="F21" i="17"/>
  <c r="G20" i="17"/>
  <c r="F20" i="17"/>
  <c r="G19" i="17"/>
  <c r="F19" i="17"/>
  <c r="G18" i="17"/>
  <c r="F18" i="17"/>
  <c r="G17" i="17"/>
  <c r="F17" i="17"/>
  <c r="G16" i="17"/>
  <c r="F16" i="17"/>
  <c r="G15" i="17"/>
  <c r="F15" i="17"/>
  <c r="G14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G3" i="17"/>
  <c r="F3" i="17"/>
  <c r="G2" i="17"/>
  <c r="F2" i="17"/>
  <c r="G18" i="16"/>
  <c r="F18" i="16"/>
  <c r="G17" i="16"/>
  <c r="F17" i="16"/>
  <c r="G16" i="16"/>
  <c r="F16" i="16"/>
  <c r="G15" i="16"/>
  <c r="F15" i="16"/>
  <c r="G14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G3" i="16"/>
  <c r="F3" i="16"/>
  <c r="G2" i="16"/>
  <c r="F2" i="16"/>
  <c r="G25" i="15"/>
  <c r="F25" i="15"/>
  <c r="G24" i="15"/>
  <c r="F24" i="15"/>
  <c r="G23" i="15"/>
  <c r="F23" i="15"/>
  <c r="G22" i="15"/>
  <c r="F22" i="15"/>
  <c r="G21" i="15"/>
  <c r="F21" i="15"/>
  <c r="G20" i="15"/>
  <c r="F20" i="15"/>
  <c r="G19" i="15"/>
  <c r="F19" i="15"/>
  <c r="G18" i="15"/>
  <c r="F18" i="15"/>
  <c r="G17" i="15"/>
  <c r="F17" i="15"/>
  <c r="G16" i="15"/>
  <c r="F16" i="15"/>
  <c r="G15" i="15"/>
  <c r="F15" i="15"/>
  <c r="G14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G3" i="15"/>
  <c r="F3" i="15"/>
  <c r="G2" i="15"/>
  <c r="F2" i="15"/>
  <c r="G21" i="14"/>
  <c r="F21" i="14"/>
  <c r="G20" i="14"/>
  <c r="F20" i="14"/>
  <c r="G19" i="14"/>
  <c r="F19" i="14"/>
  <c r="G18" i="14"/>
  <c r="F18" i="14"/>
  <c r="G17" i="14"/>
  <c r="F17" i="14"/>
  <c r="G16" i="14"/>
  <c r="F16" i="14"/>
  <c r="G15" i="14"/>
  <c r="F15" i="14"/>
  <c r="G14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G3" i="14"/>
  <c r="F3" i="14"/>
  <c r="G2" i="14"/>
  <c r="F2" i="14"/>
  <c r="G17" i="13"/>
  <c r="F17" i="13"/>
  <c r="G16" i="13"/>
  <c r="F16" i="13"/>
  <c r="G15" i="13"/>
  <c r="F15" i="13"/>
  <c r="G14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G3" i="13"/>
  <c r="F3" i="13"/>
  <c r="G2" i="13"/>
  <c r="F2" i="13"/>
  <c r="G4" i="11"/>
  <c r="F4" i="11"/>
  <c r="G3" i="11"/>
  <c r="F3" i="11"/>
  <c r="G2" i="11"/>
  <c r="F2" i="11"/>
  <c r="G24" i="10"/>
  <c r="F24" i="10"/>
  <c r="G23" i="10"/>
  <c r="F23" i="10"/>
  <c r="G22" i="10"/>
  <c r="F22" i="10"/>
  <c r="G21" i="10"/>
  <c r="F21" i="10"/>
  <c r="G20" i="10"/>
  <c r="F20" i="10"/>
  <c r="G19" i="10"/>
  <c r="F19" i="10"/>
  <c r="G18" i="10"/>
  <c r="F18" i="10"/>
  <c r="G17" i="10"/>
  <c r="F17" i="10"/>
  <c r="G16" i="10"/>
  <c r="F16" i="10"/>
  <c r="G15" i="10"/>
  <c r="F15" i="10"/>
  <c r="G14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G3" i="10"/>
  <c r="F3" i="10"/>
  <c r="G2" i="10"/>
  <c r="F2" i="10"/>
  <c r="G23" i="37"/>
  <c r="F23" i="37"/>
  <c r="G22" i="37"/>
  <c r="F22" i="37"/>
  <c r="G21" i="37"/>
  <c r="F21" i="37"/>
  <c r="G20" i="37"/>
  <c r="F20" i="37"/>
  <c r="G19" i="37"/>
  <c r="F19" i="37"/>
  <c r="G18" i="37"/>
  <c r="F18" i="37"/>
  <c r="G17" i="37"/>
  <c r="F17" i="37"/>
  <c r="G16" i="37"/>
  <c r="F16" i="37"/>
  <c r="G15" i="37"/>
  <c r="F15" i="37"/>
  <c r="G14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G3" i="37"/>
  <c r="F3" i="37"/>
  <c r="G2" i="37"/>
  <c r="F2" i="37"/>
  <c r="G23" i="9"/>
  <c r="F23" i="9"/>
  <c r="G22" i="9"/>
  <c r="F22" i="9"/>
  <c r="G21" i="9"/>
  <c r="F21" i="9"/>
  <c r="G20" i="9"/>
  <c r="F20" i="9"/>
  <c r="G19" i="9"/>
  <c r="F19" i="9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G4" i="9"/>
  <c r="F4" i="9"/>
  <c r="G3" i="9"/>
  <c r="F3" i="9"/>
  <c r="G2" i="9"/>
  <c r="F2" i="9"/>
  <c r="G13" i="8"/>
  <c r="F13" i="8"/>
  <c r="G12" i="8"/>
  <c r="F12" i="8"/>
  <c r="G11" i="8"/>
  <c r="F11" i="8"/>
  <c r="G10" i="8"/>
  <c r="F10" i="8"/>
  <c r="G9" i="8"/>
  <c r="F9" i="8"/>
  <c r="G8" i="8"/>
  <c r="F8" i="8"/>
  <c r="G7" i="8"/>
  <c r="F7" i="8"/>
  <c r="G6" i="8"/>
  <c r="F6" i="8"/>
  <c r="G5" i="8"/>
  <c r="F5" i="8"/>
  <c r="G4" i="8"/>
  <c r="F4" i="8"/>
  <c r="G3" i="8"/>
  <c r="F3" i="8"/>
  <c r="G2" i="8"/>
  <c r="F2" i="8"/>
  <c r="G10" i="6"/>
  <c r="G9" i="6"/>
  <c r="G8" i="6"/>
  <c r="G7" i="6"/>
  <c r="G6" i="6"/>
  <c r="G5" i="6"/>
  <c r="G4" i="6"/>
  <c r="G3" i="6"/>
  <c r="G2" i="6"/>
  <c r="F10" i="6"/>
  <c r="F9" i="6"/>
  <c r="F8" i="6"/>
  <c r="F7" i="6"/>
  <c r="F6" i="6"/>
  <c r="F5" i="6"/>
  <c r="F4" i="6"/>
  <c r="F3" i="6"/>
  <c r="F2" i="6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E12" i="37"/>
  <c r="D12" i="37"/>
  <c r="E11" i="37"/>
  <c r="D11" i="37"/>
  <c r="E10" i="37"/>
  <c r="D10" i="37"/>
  <c r="E9" i="37"/>
  <c r="D9" i="37"/>
  <c r="E8" i="37"/>
  <c r="D8" i="37"/>
  <c r="E7" i="37"/>
  <c r="D7" i="37"/>
  <c r="E6" i="37"/>
  <c r="D6" i="37"/>
  <c r="E5" i="37"/>
  <c r="D5" i="37"/>
  <c r="E4" i="37"/>
  <c r="D4" i="37"/>
  <c r="E3" i="37"/>
  <c r="D3" i="37"/>
  <c r="E2" i="37"/>
  <c r="D2" i="37"/>
  <c r="C19" i="1"/>
  <c r="E12" i="30" l="1"/>
  <c r="D12" i="30"/>
  <c r="E24" i="28"/>
  <c r="D24" i="28"/>
  <c r="E21" i="27"/>
  <c r="D21" i="27"/>
  <c r="E21" i="26"/>
  <c r="D21" i="26"/>
  <c r="E24" i="33"/>
  <c r="D24" i="33"/>
  <c r="E9" i="25"/>
  <c r="D9" i="25"/>
  <c r="E13" i="23"/>
  <c r="D13" i="23"/>
  <c r="D12" i="23"/>
  <c r="E12" i="23"/>
  <c r="E22" i="21"/>
  <c r="D22" i="21"/>
  <c r="E20" i="20"/>
  <c r="D20" i="20"/>
  <c r="E8" i="19"/>
  <c r="D8" i="19"/>
  <c r="E22" i="18"/>
  <c r="D22" i="18"/>
  <c r="E24" i="17"/>
  <c r="D24" i="17"/>
  <c r="E18" i="16"/>
  <c r="D18" i="16"/>
  <c r="E25" i="15"/>
  <c r="D25" i="15"/>
  <c r="E21" i="14"/>
  <c r="D21" i="14"/>
  <c r="E24" i="10"/>
  <c r="D24" i="10"/>
  <c r="E23" i="9"/>
  <c r="D23" i="9"/>
  <c r="E13" i="8"/>
  <c r="D13" i="8"/>
  <c r="E10" i="6"/>
  <c r="D10" i="6"/>
  <c r="C5" i="1"/>
  <c r="E17" i="16" l="1"/>
  <c r="D17" i="16"/>
  <c r="E16" i="16"/>
  <c r="D16" i="16"/>
  <c r="E11" i="30" l="1"/>
  <c r="D11" i="30"/>
  <c r="E12" i="8"/>
  <c r="D12" i="8"/>
  <c r="E8" i="31"/>
  <c r="E7" i="31"/>
  <c r="E6" i="31"/>
  <c r="E5" i="31"/>
  <c r="E4" i="31"/>
  <c r="E3" i="31"/>
  <c r="E2" i="31"/>
  <c r="E10" i="30"/>
  <c r="E9" i="30"/>
  <c r="E8" i="30"/>
  <c r="E7" i="30"/>
  <c r="E6" i="30"/>
  <c r="E5" i="30"/>
  <c r="E4" i="30"/>
  <c r="E3" i="30"/>
  <c r="E2" i="30"/>
  <c r="E6" i="29"/>
  <c r="E5" i="29"/>
  <c r="E4" i="29"/>
  <c r="E3" i="29"/>
  <c r="E2" i="29"/>
  <c r="E23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E3" i="28"/>
  <c r="E2" i="28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E20" i="26"/>
  <c r="E19" i="26"/>
  <c r="E18" i="26"/>
  <c r="E17" i="26"/>
  <c r="E16" i="26"/>
  <c r="E15" i="26"/>
  <c r="E14" i="26"/>
  <c r="E13" i="26"/>
  <c r="E12" i="26"/>
  <c r="E11" i="26"/>
  <c r="E10" i="26"/>
  <c r="E9" i="26"/>
  <c r="E8" i="26"/>
  <c r="E7" i="26"/>
  <c r="E6" i="26"/>
  <c r="E5" i="26"/>
  <c r="E4" i="26"/>
  <c r="E3" i="26"/>
  <c r="E2" i="26"/>
  <c r="E22" i="33"/>
  <c r="E21" i="33"/>
  <c r="E20" i="33"/>
  <c r="E19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  <c r="E4" i="33"/>
  <c r="E3" i="33"/>
  <c r="E2" i="33"/>
  <c r="E8" i="25"/>
  <c r="E7" i="25"/>
  <c r="E6" i="25"/>
  <c r="E5" i="25"/>
  <c r="E4" i="25"/>
  <c r="E3" i="25"/>
  <c r="E2" i="25"/>
  <c r="E15" i="24"/>
  <c r="E14" i="24"/>
  <c r="E13" i="24"/>
  <c r="E12" i="24"/>
  <c r="E11" i="24"/>
  <c r="E10" i="24"/>
  <c r="E9" i="24"/>
  <c r="E8" i="24"/>
  <c r="E7" i="24"/>
  <c r="E6" i="24"/>
  <c r="E5" i="24"/>
  <c r="E4" i="24"/>
  <c r="E3" i="24"/>
  <c r="E2" i="24"/>
  <c r="E11" i="23"/>
  <c r="E10" i="23"/>
  <c r="E9" i="23"/>
  <c r="E8" i="23"/>
  <c r="E7" i="23"/>
  <c r="E6" i="23"/>
  <c r="E5" i="23"/>
  <c r="E4" i="23"/>
  <c r="E3" i="23"/>
  <c r="E2" i="23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E21" i="21"/>
  <c r="E20" i="21"/>
  <c r="E19" i="21"/>
  <c r="E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E4" i="21"/>
  <c r="E3" i="21"/>
  <c r="E2" i="21"/>
  <c r="D19" i="20"/>
  <c r="E19" i="20"/>
  <c r="E18" i="20"/>
  <c r="E17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E2" i="20"/>
  <c r="E7" i="19"/>
  <c r="E6" i="19"/>
  <c r="E5" i="19"/>
  <c r="E4" i="19"/>
  <c r="E3" i="19"/>
  <c r="E2" i="19"/>
  <c r="E21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E5" i="18"/>
  <c r="E4" i="18"/>
  <c r="E3" i="18"/>
  <c r="E2" i="18"/>
  <c r="E23" i="17"/>
  <c r="E20" i="17"/>
  <c r="E19" i="17"/>
  <c r="E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E2" i="17"/>
  <c r="E23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E15" i="16"/>
  <c r="E14" i="16"/>
  <c r="E13" i="16"/>
  <c r="E12" i="16"/>
  <c r="E11" i="16"/>
  <c r="E10" i="16"/>
  <c r="E9" i="16"/>
  <c r="E8" i="16"/>
  <c r="E7" i="16"/>
  <c r="E6" i="16"/>
  <c r="E5" i="16"/>
  <c r="E4" i="16"/>
  <c r="E3" i="16"/>
  <c r="E2" i="16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E2" i="15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3" i="14"/>
  <c r="E2" i="14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E2" i="13"/>
  <c r="E4" i="11"/>
  <c r="E3" i="11"/>
  <c r="E2" i="11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E11" i="8"/>
  <c r="E10" i="8"/>
  <c r="E9" i="8"/>
  <c r="E8" i="8"/>
  <c r="E7" i="8"/>
  <c r="E6" i="8"/>
  <c r="E5" i="8"/>
  <c r="E4" i="8"/>
  <c r="E3" i="8"/>
  <c r="E2" i="8"/>
  <c r="E9" i="6"/>
  <c r="E8" i="6"/>
  <c r="E7" i="6"/>
  <c r="E6" i="6"/>
  <c r="E5" i="6"/>
  <c r="E4" i="6"/>
  <c r="E3" i="6"/>
  <c r="E2" i="6"/>
  <c r="D22" i="33" l="1"/>
  <c r="D22" i="9" l="1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D3" i="13"/>
  <c r="D2" i="13"/>
  <c r="C8" i="1"/>
  <c r="D9" i="6" l="1"/>
  <c r="D16" i="28" l="1"/>
  <c r="D8" i="31" l="1"/>
  <c r="D7" i="31"/>
  <c r="D6" i="31"/>
  <c r="D5" i="31"/>
  <c r="D4" i="31"/>
  <c r="D3" i="31"/>
  <c r="D2" i="31"/>
  <c r="D10" i="30"/>
  <c r="D9" i="30"/>
  <c r="D8" i="30"/>
  <c r="D7" i="30"/>
  <c r="D6" i="30"/>
  <c r="D5" i="30"/>
  <c r="D4" i="30"/>
  <c r="D3" i="30"/>
  <c r="D2" i="30"/>
  <c r="D6" i="29"/>
  <c r="D5" i="29"/>
  <c r="D4" i="29"/>
  <c r="D3" i="29"/>
  <c r="D2" i="29"/>
  <c r="D23" i="28"/>
  <c r="D22" i="28"/>
  <c r="D21" i="28"/>
  <c r="D20" i="28"/>
  <c r="D19" i="28"/>
  <c r="D18" i="28"/>
  <c r="D17" i="28"/>
  <c r="D15" i="28"/>
  <c r="D14" i="28"/>
  <c r="D13" i="28"/>
  <c r="D12" i="28"/>
  <c r="D11" i="28"/>
  <c r="D10" i="28"/>
  <c r="D9" i="28"/>
  <c r="D8" i="28"/>
  <c r="D7" i="28"/>
  <c r="D6" i="28"/>
  <c r="D5" i="28"/>
  <c r="D4" i="28"/>
  <c r="D3" i="28"/>
  <c r="D2" i="28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4" i="27"/>
  <c r="D3" i="27"/>
  <c r="D2" i="27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D4" i="26"/>
  <c r="D3" i="26"/>
  <c r="D2" i="26"/>
  <c r="D21" i="33"/>
  <c r="D20" i="33"/>
  <c r="D19" i="33"/>
  <c r="D18" i="33"/>
  <c r="D17" i="33"/>
  <c r="D16" i="33"/>
  <c r="D15" i="33"/>
  <c r="D14" i="33"/>
  <c r="D13" i="33"/>
  <c r="D12" i="33"/>
  <c r="D11" i="33"/>
  <c r="D10" i="33"/>
  <c r="D9" i="33"/>
  <c r="D8" i="33"/>
  <c r="D7" i="33"/>
  <c r="D6" i="33"/>
  <c r="D5" i="33"/>
  <c r="D4" i="33"/>
  <c r="D3" i="33"/>
  <c r="D2" i="33"/>
  <c r="D8" i="25"/>
  <c r="D7" i="25"/>
  <c r="D6" i="25"/>
  <c r="D5" i="25"/>
  <c r="D4" i="25"/>
  <c r="D3" i="25"/>
  <c r="D2" i="25"/>
  <c r="D15" i="24"/>
  <c r="D14" i="24"/>
  <c r="D13" i="24"/>
  <c r="D12" i="24"/>
  <c r="D11" i="24"/>
  <c r="D10" i="24"/>
  <c r="D9" i="24"/>
  <c r="D8" i="24"/>
  <c r="D7" i="24"/>
  <c r="D6" i="24"/>
  <c r="D5" i="24"/>
  <c r="D4" i="24"/>
  <c r="D3" i="24"/>
  <c r="D2" i="24"/>
  <c r="D11" i="23"/>
  <c r="D10" i="23"/>
  <c r="D9" i="23"/>
  <c r="D8" i="23"/>
  <c r="D7" i="23"/>
  <c r="D6" i="23"/>
  <c r="D5" i="23"/>
  <c r="D4" i="23"/>
  <c r="D3" i="23"/>
  <c r="D2" i="23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D21" i="21"/>
  <c r="D20" i="21"/>
  <c r="D19" i="21"/>
  <c r="D18" i="21"/>
  <c r="D17" i="21"/>
  <c r="D16" i="21"/>
  <c r="D15" i="21"/>
  <c r="D14" i="21"/>
  <c r="D13" i="21"/>
  <c r="D12" i="21"/>
  <c r="D11" i="21"/>
  <c r="D10" i="21"/>
  <c r="D9" i="21"/>
  <c r="D8" i="21"/>
  <c r="D7" i="21"/>
  <c r="D6" i="21"/>
  <c r="D5" i="21"/>
  <c r="D4" i="21"/>
  <c r="D3" i="21"/>
  <c r="D2" i="21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7" i="19"/>
  <c r="D6" i="19"/>
  <c r="D5" i="19"/>
  <c r="D4" i="19"/>
  <c r="D3" i="19"/>
  <c r="D2" i="19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D15" i="16"/>
  <c r="D14" i="16"/>
  <c r="D13" i="16"/>
  <c r="D12" i="16"/>
  <c r="D11" i="16"/>
  <c r="D10" i="16"/>
  <c r="D9" i="16"/>
  <c r="D8" i="16"/>
  <c r="D7" i="16"/>
  <c r="D6" i="16"/>
  <c r="D5" i="16"/>
  <c r="D4" i="16"/>
  <c r="D3" i="16"/>
  <c r="D2" i="16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D4" i="15"/>
  <c r="D3" i="15"/>
  <c r="D2" i="15"/>
  <c r="D20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D7" i="14"/>
  <c r="D6" i="14"/>
  <c r="D5" i="14"/>
  <c r="D4" i="14"/>
  <c r="D3" i="14"/>
  <c r="D2" i="14"/>
  <c r="D4" i="11"/>
  <c r="D3" i="11"/>
  <c r="D2" i="11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D2" i="9"/>
  <c r="D11" i="8"/>
  <c r="D10" i="8"/>
  <c r="D9" i="8"/>
  <c r="D8" i="8"/>
  <c r="D7" i="8"/>
  <c r="D6" i="8"/>
  <c r="D5" i="8"/>
  <c r="D4" i="8"/>
  <c r="D3" i="8"/>
  <c r="D2" i="8"/>
  <c r="C6" i="1"/>
  <c r="C12" i="1"/>
  <c r="C23" i="1"/>
  <c r="C22" i="1"/>
  <c r="C26" i="1"/>
  <c r="C16" i="1"/>
  <c r="C11" i="1"/>
  <c r="C20" i="1"/>
  <c r="C3" i="1"/>
  <c r="C13" i="1"/>
  <c r="C10" i="1"/>
  <c r="C7" i="1"/>
  <c r="C18" i="1"/>
  <c r="C15" i="1"/>
  <c r="C25" i="1"/>
  <c r="C4" i="1"/>
  <c r="C9" i="1"/>
  <c r="C17" i="1"/>
  <c r="C14" i="1"/>
  <c r="C27" i="1"/>
  <c r="C24" i="1"/>
  <c r="C21" i="1"/>
  <c r="D8" i="6" l="1"/>
  <c r="D7" i="6"/>
  <c r="D6" i="6"/>
  <c r="D5" i="6"/>
  <c r="D4" i="6"/>
  <c r="D3" i="6"/>
  <c r="D2" i="6"/>
  <c r="B2" i="35"/>
  <c r="C2" i="1"/>
  <c r="E13" i="1" l="1"/>
  <c r="E3" i="1"/>
  <c r="E7" i="1"/>
  <c r="E10" i="1"/>
  <c r="E6" i="1"/>
  <c r="E15" i="1"/>
  <c r="E27" i="1"/>
  <c r="E2" i="1"/>
  <c r="C31" i="1" l="1"/>
  <c r="E21" i="1"/>
  <c r="E12" i="1"/>
  <c r="E4" i="1"/>
  <c r="E20" i="1"/>
  <c r="E26" i="1"/>
  <c r="E18" i="1"/>
  <c r="E9" i="1"/>
  <c r="E16" i="1"/>
  <c r="E17" i="1"/>
  <c r="E25" i="1"/>
  <c r="E24" i="1"/>
  <c r="E11" i="1"/>
  <c r="E22" i="1"/>
  <c r="E8" i="1"/>
  <c r="E23" i="1"/>
  <c r="E14" i="1"/>
  <c r="E19" i="1"/>
</calcChain>
</file>

<file path=xl/sharedStrings.xml><?xml version="1.0" encoding="utf-8"?>
<sst xmlns="http://schemas.openxmlformats.org/spreadsheetml/2006/main" count="1474" uniqueCount="182">
  <si>
    <t>Engineer</t>
  </si>
  <si>
    <t>Code</t>
  </si>
  <si>
    <t>ABM</t>
  </si>
  <si>
    <t>ADT</t>
  </si>
  <si>
    <t>AEP</t>
  </si>
  <si>
    <t>BC</t>
  </si>
  <si>
    <t>BTS</t>
  </si>
  <si>
    <t>EAS</t>
  </si>
  <si>
    <t>EFG</t>
  </si>
  <si>
    <t>ERG</t>
  </si>
  <si>
    <t>FEC</t>
  </si>
  <si>
    <t>CPS</t>
  </si>
  <si>
    <t>FSD</t>
  </si>
  <si>
    <t>JGR</t>
  </si>
  <si>
    <t>KBH</t>
  </si>
  <si>
    <t>KII</t>
  </si>
  <si>
    <t>LSM</t>
  </si>
  <si>
    <t>MND</t>
  </si>
  <si>
    <t>RSB</t>
  </si>
  <si>
    <t>SOS</t>
  </si>
  <si>
    <t>TGI</t>
  </si>
  <si>
    <t>TPS</t>
  </si>
  <si>
    <t>USF</t>
  </si>
  <si>
    <t>USW</t>
  </si>
  <si>
    <t>VLT</t>
  </si>
  <si>
    <t>WMD</t>
  </si>
  <si>
    <t>BPA Engineer</t>
  </si>
  <si>
    <t>Summary</t>
  </si>
  <si>
    <t>Frequency</t>
  </si>
  <si>
    <t>BHeuser</t>
  </si>
  <si>
    <t>Bkew</t>
  </si>
  <si>
    <t>EThompson</t>
  </si>
  <si>
    <t>JPhannenstill</t>
  </si>
  <si>
    <t>JStraub</t>
  </si>
  <si>
    <t>MGarcia</t>
  </si>
  <si>
    <t>STabba</t>
  </si>
  <si>
    <t>TSenn</t>
  </si>
  <si>
    <t>SST</t>
  </si>
  <si>
    <t>Freq</t>
  </si>
  <si>
    <t>Budget</t>
  </si>
  <si>
    <t>Annual Time</t>
  </si>
  <si>
    <t>Monthly</t>
  </si>
  <si>
    <t>Windows Patch Installation - Post Verification</t>
  </si>
  <si>
    <t>Review Office 365 Portal</t>
  </si>
  <si>
    <t>Update NAS Firmware</t>
  </si>
  <si>
    <t>Quarterly</t>
  </si>
  <si>
    <t>Update Firewall Firmware</t>
  </si>
  <si>
    <t>Update Switch Firmware</t>
  </si>
  <si>
    <t>Annual</t>
  </si>
  <si>
    <t>Review Group Policies</t>
  </si>
  <si>
    <t>Daily</t>
  </si>
  <si>
    <t>Weekly</t>
  </si>
  <si>
    <t>Agreement Budget</t>
  </si>
  <si>
    <t>Differential</t>
  </si>
  <si>
    <t>Task Budget (SE Hrs)</t>
  </si>
  <si>
    <t>Backup Hypervisor Configuration</t>
  </si>
  <si>
    <t>Test File Level Restore from Backup (Veeam)</t>
  </si>
  <si>
    <t>Update Server iLO Firmware</t>
  </si>
  <si>
    <t>Update ESXi</t>
  </si>
  <si>
    <t>Review Backup Configuration</t>
  </si>
  <si>
    <t>Update Server Firmware</t>
  </si>
  <si>
    <t>Update Router Firmware</t>
  </si>
  <si>
    <t>Update Veeam</t>
  </si>
  <si>
    <t>Update vCenter</t>
  </si>
  <si>
    <t>Update SQL Server - Service Packs, Update Rollups</t>
  </si>
  <si>
    <t>Update UPS Firmware</t>
  </si>
  <si>
    <t>Update Wireless Device Firmware</t>
  </si>
  <si>
    <t>Test File Level Restore from Backup (Azure)</t>
  </si>
  <si>
    <t>Review Azure Portal</t>
  </si>
  <si>
    <t>Update SAN Firmware</t>
  </si>
  <si>
    <t>Update Zerto Appliances</t>
  </si>
  <si>
    <t>Update Load Balancer Firmware</t>
  </si>
  <si>
    <t>MSA</t>
  </si>
  <si>
    <t>Default Ag setup</t>
  </si>
  <si>
    <t>BPA</t>
  </si>
  <si>
    <t>BPA and Monthly Subscriptions</t>
  </si>
  <si>
    <t>Update FMC and Firepower Modules</t>
  </si>
  <si>
    <t>Chornbeck</t>
  </si>
  <si>
    <t>DR Test</t>
  </si>
  <si>
    <t>User List Update – Carbonite, ESM, OneDrive</t>
  </si>
  <si>
    <t>Review Workstation Disk Space</t>
  </si>
  <si>
    <t>Update Webroot Agents</t>
  </si>
  <si>
    <t>Review &amp; Remediate Workstation Patches</t>
  </si>
  <si>
    <t>Nipper Studio Config Audit</t>
  </si>
  <si>
    <t>Update Hyper-V hosts</t>
  </si>
  <si>
    <t>Update Wireless Non-Meraki Devices</t>
  </si>
  <si>
    <t>Update Wireless Meraki Devices</t>
  </si>
  <si>
    <t>Review Meraki Portal</t>
  </si>
  <si>
    <t>Review Google Apps Portal</t>
  </si>
  <si>
    <t>Review Azure Replications</t>
  </si>
  <si>
    <t>Update Barracuda Appliance</t>
  </si>
  <si>
    <t>Update Cloud Genix Firmware</t>
  </si>
  <si>
    <t>Bptak</t>
  </si>
  <si>
    <t>Patch Group Review</t>
  </si>
  <si>
    <t>ID</t>
  </si>
  <si>
    <t>Company</t>
  </si>
  <si>
    <t>Tsenn</t>
  </si>
  <si>
    <t>ARC</t>
  </si>
  <si>
    <t>????</t>
  </si>
  <si>
    <t>?????</t>
  </si>
  <si>
    <t>Description</t>
  </si>
  <si>
    <t>Update Hyper-V Hosts</t>
  </si>
  <si>
    <t>Update Exchange</t>
  </si>
  <si>
    <t>Review Network</t>
  </si>
  <si>
    <t>Review Backups (Azure)</t>
  </si>
  <si>
    <t>Review Backups (Carbonite)</t>
  </si>
  <si>
    <t>Review Backups (Veeam)</t>
  </si>
  <si>
    <t>Review Backups (Barracuda)</t>
  </si>
  <si>
    <t>Review Backups (Datto)</t>
  </si>
  <si>
    <t>Review Windows Server Logs</t>
  </si>
  <si>
    <t>Test File Level Restore from Backup (Carbonite)</t>
  </si>
  <si>
    <t>Test File Level Restore from Backup (Barracuda)</t>
  </si>
  <si>
    <t>Test File Level Restore from Backup (Datto)</t>
  </si>
  <si>
    <t>Update Azure Agents</t>
  </si>
  <si>
    <t>Update Carbonite Agents</t>
  </si>
  <si>
    <t>Update Datto Appliance</t>
  </si>
  <si>
    <t>SemiAnnual</t>
  </si>
  <si>
    <t>Take a backup of the hypervisor configuration and store the data in ITG, attach to the appropriate client device</t>
  </si>
  <si>
    <t>Perform an audit of the client's switch configuration for issues</t>
  </si>
  <si>
    <t>Review the patch approval policies. Ensure all servers and workstations that are supposed to be automatically patched are (by being in the correct patch groups)</t>
  </si>
  <si>
    <t>Identify any issues with workstations that may be preventing patches from being installed</t>
  </si>
  <si>
    <t>Review Active Directory</t>
  </si>
  <si>
    <t>Review the Active Directory enviornment for issues via  repadmin, dcdiag. Review admin group memberships for unauthrized members</t>
  </si>
  <si>
    <t>Review the Azure portal for issues.</t>
  </si>
  <si>
    <t>Review status of the client's azure replications</t>
  </si>
  <si>
    <t>Work with the account's vCIO or primary engineer to review the configuration of the client's backup jobs. Ensure that the configuraiton is still optimal for the client's environment</t>
  </si>
  <si>
    <t>Review the client's Azure backups for issues.</t>
  </si>
  <si>
    <t>Review the client's Carbonite backups for issues</t>
  </si>
  <si>
    <t>Review the client's Veeam backups for issues</t>
  </si>
  <si>
    <t>Review the client's Barracuda backups for issues</t>
  </si>
  <si>
    <t>Review the client's Datto backups for issues</t>
  </si>
  <si>
    <t>Review the client's Google Apps portal for licensing or other issues</t>
  </si>
  <si>
    <t>Work with the account's vCIO or primary engineer to review the configuration of the client's Group policies. Ensure that the configuraiton is still optimal for the client's environment.</t>
  </si>
  <si>
    <t>Review the client's windows server application and security logs for standout issues</t>
  </si>
  <si>
    <t>Review the client's Meraki portal for issues that could impact the network</t>
  </si>
  <si>
    <t>Utilizing Auvik, review the client's network for issues. Ensure all infrastructure devices are SNMP \ login integrated. Ensure that all devices classified appropraitely.</t>
  </si>
  <si>
    <t>Review the client's Office 365 portal for licensing or other issues</t>
  </si>
  <si>
    <t>Review Backups (Zerto)</t>
  </si>
  <si>
    <t>Review the client's workstations for disk space issues</t>
  </si>
  <si>
    <t>Review the cleint's Zerto replications for issues</t>
  </si>
  <si>
    <t>Perform a file level restore utilizing the client's Azure backups</t>
  </si>
  <si>
    <t>Perform a file level restore utilizing the client's Veeam backups</t>
  </si>
  <si>
    <t>Perform a file level restore utilizing the client's Carbonite backups</t>
  </si>
  <si>
    <t>Perform a file level restore utilizing the client's Barracuda backups</t>
  </si>
  <si>
    <t>Perform a file level restore utilizing the client's Datto backups</t>
  </si>
  <si>
    <t>Update the client's Azure backup\replication agents</t>
  </si>
  <si>
    <t>Update the client's Carbonite agents</t>
  </si>
  <si>
    <t>Update the client's Barracuda appliance and agents</t>
  </si>
  <si>
    <t>Update the client's Datto appliance and agents</t>
  </si>
  <si>
    <t>Update the cloud Genix firmware - Touch base with Ben P before scheduling in order to determine the best firmware</t>
  </si>
  <si>
    <t>Install the latest ESXi patch for the currently installed version</t>
  </si>
  <si>
    <t>Install the latest Exchange rollup</t>
  </si>
  <si>
    <t>Install the reccommended firewall firmware</t>
  </si>
  <si>
    <t>Updatre the ASA's FMC and Firepower modules to a version that is compatible with the installed ASA software</t>
  </si>
  <si>
    <t>Patch the client's hyper-v holst</t>
  </si>
  <si>
    <t>Update the firmware on the client's load balancer to the latest reccommedned version</t>
  </si>
  <si>
    <t>Update the firmware on the client's NAS device(s)</t>
  </si>
  <si>
    <t>Update the firmware on the client's router(s)</t>
  </si>
  <si>
    <t>Update the firmware on the client's SAN</t>
  </si>
  <si>
    <t>Update the firmware on the client's servers - For  HP servers check for a model specific BIOS update that may have been released after the latest ISO/</t>
  </si>
  <si>
    <t>Update the iLO firmware on the cleint's servers</t>
  </si>
  <si>
    <t>Install the latest SQL service pack</t>
  </si>
  <si>
    <t>Update the firmware on the client's switches</t>
  </si>
  <si>
    <t>Update the firmware on the web controller of the client's UPS(s)</t>
  </si>
  <si>
    <t>Update vCenter to the latest patch for the currently installed version</t>
  </si>
  <si>
    <t>Install the latest version of Veeam Backup and Replication</t>
  </si>
  <si>
    <t>Review the state of Webroot Agents on the client's systems and update any that have not automatically been updates</t>
  </si>
  <si>
    <t>Update the firmware on the client's access points</t>
  </si>
  <si>
    <t>Update the firmware on the client's Meraki devices</t>
  </si>
  <si>
    <t>Update the firmware on the client's non-meraki devices</t>
  </si>
  <si>
    <t>Update the Zerto appliances (VRA) and management VMs (ZVM)</t>
  </si>
  <si>
    <t>Review the client's users and PCs, make sure OneDrive, ESM and Carbonite are in alignment.</t>
  </si>
  <si>
    <t>Review the operation of the client's server post update</t>
  </si>
  <si>
    <t>System</t>
  </si>
  <si>
    <t>Security</t>
  </si>
  <si>
    <t>Desktop</t>
  </si>
  <si>
    <t>Cloud</t>
  </si>
  <si>
    <t>Network</t>
  </si>
  <si>
    <t>Application</t>
  </si>
  <si>
    <t>Storage</t>
  </si>
  <si>
    <t>Before a DR failover test or execute the client's DR Test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</si>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</sst>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0" fontId="0" fillId="2" borderId="0" xfId="0" applyFill="1"/>
    <xf numFmtId="0" fontId="0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9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4.xml"/><Relationship Id="rId42" Type="http://schemas.openxmlformats.org/officeDocument/2006/relationships/externalLink" Target="externalLinks/externalLink1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externalLink" Target="externalLinks/externalLink7.xml"/><Relationship Id="rId40" Type="http://schemas.openxmlformats.org/officeDocument/2006/relationships/externalLink" Target="externalLinks/externalLink10.xml"/><Relationship Id="rId45" Type="http://schemas.openxmlformats.org/officeDocument/2006/relationships/externalLink" Target="externalLinks/externalLink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4" Type="http://schemas.openxmlformats.org/officeDocument/2006/relationships/externalLink" Target="externalLinks/externalLink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5.xml"/><Relationship Id="rId43" Type="http://schemas.openxmlformats.org/officeDocument/2006/relationships/externalLink" Target="externalLinks/externalLink1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3.xml"/><Relationship Id="rId38" Type="http://schemas.openxmlformats.org/officeDocument/2006/relationships/externalLink" Target="externalLinks/externalLink8.xml"/><Relationship Id="rId46" Type="http://schemas.openxmlformats.org/officeDocument/2006/relationships/externalLink" Target="externalLinks/externalLink16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SST%20BPA%20Proposal%2009062019%20DRAFT%2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EFG%20BPA%20Proposal%2009202019%20DRAFT%20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BC%20BPA%20Proposal%2009202019%20DRAFT%20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USF%20BPA%20Proposal%2008302019%20DRAFT%20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BTS%20BPA%20Proposal%2008302019%20DRAFT%201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EAS%20BPA%20Proposal%2009062019%20DRAFT%20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FEC%20BPA%20Proposal%2009202019%20DRAFT%201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JGR%20BPA%20Proposal%20Template%2009092019%20DRAFT%20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KBH%20BPA%20Proposal%2009202019%20DRAFT%20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LSM%20BPA%20Proposal%2009202019%20DRAFT%20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MND%20BPA%20Proposal%2008302019%20DRAFT%201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RSB%20BPA%20Proposal%2009202019%20DRAFT%201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TGI%20BPA%20Proposal%2009062019%20DRAFT%201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TPS%20BPA%20Proposal%2008302019%20DRAFT%201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VLT%20BPA%20Proposal%2009202019%20DRAFT%202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WMD%20BPA%20Proposal%2009202019%20DRAFT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equnecy vlookup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1"/>
  <sheetViews>
    <sheetView tabSelected="1" workbookViewId="0">
      <selection activeCell="C26" sqref="C26"/>
    </sheetView>
  </sheetViews>
  <sheetFormatPr defaultRowHeight="15" x14ac:dyDescent="0.25"/>
  <cols>
    <col min="2" max="2" width="15.140625" bestFit="1" customWidth="1"/>
    <col min="3" max="3" width="19" bestFit="1" customWidth="1"/>
    <col min="4" max="4" width="18" bestFit="1" customWidth="1"/>
    <col min="5" max="5" width="11.28515625" bestFit="1" customWidth="1"/>
    <col min="6" max="6" width="15.85546875" bestFit="1" customWidth="1"/>
  </cols>
  <sheetData>
    <row r="1" spans="1:6" x14ac:dyDescent="0.25">
      <c r="A1" t="s">
        <v>1</v>
      </c>
      <c r="B1" t="s">
        <v>26</v>
      </c>
      <c r="C1" t="s">
        <v>54</v>
      </c>
      <c r="D1" t="s">
        <v>52</v>
      </c>
      <c r="E1" t="s">
        <v>53</v>
      </c>
      <c r="F1" t="s">
        <v>73</v>
      </c>
    </row>
    <row r="2" spans="1:6" x14ac:dyDescent="0.25">
      <c r="A2" s="3" t="s">
        <v>2</v>
      </c>
      <c r="B2" t="s">
        <v>33</v>
      </c>
      <c r="C2">
        <f ca="1">SUM(INDIRECT(CONCATENATE("'",A2,"'!","D2:D30")))</f>
        <v>47</v>
      </c>
      <c r="D2" s="2">
        <v>100</v>
      </c>
      <c r="E2">
        <f ca="1">D2-C2</f>
        <v>53</v>
      </c>
      <c r="F2" t="s">
        <v>72</v>
      </c>
    </row>
    <row r="3" spans="1:6" x14ac:dyDescent="0.25">
      <c r="A3" s="3" t="s">
        <v>3</v>
      </c>
      <c r="B3" t="s">
        <v>36</v>
      </c>
      <c r="C3">
        <f t="shared" ref="C3:C27" ca="1" si="0">SUM(INDIRECT(CONCATENATE("'",A3,"'!","D2:D30")))</f>
        <v>62</v>
      </c>
      <c r="D3">
        <v>24</v>
      </c>
      <c r="E3">
        <f t="shared" ref="E3:E27" ca="1" si="1">D3-C3</f>
        <v>-38</v>
      </c>
      <c r="F3" t="s">
        <v>74</v>
      </c>
    </row>
    <row r="4" spans="1:6" x14ac:dyDescent="0.25">
      <c r="A4" s="3" t="s">
        <v>4</v>
      </c>
      <c r="B4" t="s">
        <v>33</v>
      </c>
      <c r="C4">
        <f t="shared" ca="1" si="0"/>
        <v>92</v>
      </c>
      <c r="D4">
        <v>104</v>
      </c>
      <c r="E4">
        <f t="shared" ca="1" si="1"/>
        <v>12</v>
      </c>
      <c r="F4" t="s">
        <v>74</v>
      </c>
    </row>
    <row r="5" spans="1:6" x14ac:dyDescent="0.25">
      <c r="A5" s="3" t="s">
        <v>97</v>
      </c>
      <c r="B5" t="s">
        <v>99</v>
      </c>
      <c r="C5">
        <f t="shared" ca="1" si="0"/>
        <v>92</v>
      </c>
      <c r="F5" t="s">
        <v>72</v>
      </c>
    </row>
    <row r="6" spans="1:6" x14ac:dyDescent="0.25">
      <c r="A6" s="3" t="s">
        <v>5</v>
      </c>
      <c r="B6" t="s">
        <v>34</v>
      </c>
      <c r="C6">
        <f t="shared" ca="1" si="0"/>
        <v>132</v>
      </c>
      <c r="D6">
        <v>188</v>
      </c>
      <c r="E6">
        <f t="shared" ca="1" si="1"/>
        <v>56</v>
      </c>
      <c r="F6" t="s">
        <v>74</v>
      </c>
    </row>
    <row r="7" spans="1:6" x14ac:dyDescent="0.25">
      <c r="A7" s="3" t="s">
        <v>6</v>
      </c>
      <c r="B7" t="s">
        <v>36</v>
      </c>
      <c r="C7">
        <f t="shared" ca="1" si="0"/>
        <v>21</v>
      </c>
      <c r="D7">
        <v>24</v>
      </c>
      <c r="E7">
        <f t="shared" ca="1" si="1"/>
        <v>3</v>
      </c>
      <c r="F7" t="s">
        <v>74</v>
      </c>
    </row>
    <row r="8" spans="1:6" x14ac:dyDescent="0.25">
      <c r="A8" s="3" t="s">
        <v>11</v>
      </c>
      <c r="B8" t="s">
        <v>96</v>
      </c>
      <c r="C8">
        <f t="shared" ca="1" si="0"/>
        <v>100</v>
      </c>
      <c r="D8" s="2">
        <v>100</v>
      </c>
      <c r="E8">
        <f t="shared" ca="1" si="1"/>
        <v>0</v>
      </c>
      <c r="F8" t="s">
        <v>72</v>
      </c>
    </row>
    <row r="9" spans="1:6" x14ac:dyDescent="0.25">
      <c r="A9" s="3" t="s">
        <v>7</v>
      </c>
      <c r="B9" t="s">
        <v>33</v>
      </c>
      <c r="C9">
        <f t="shared" ca="1" si="0"/>
        <v>89</v>
      </c>
      <c r="D9" s="2">
        <v>100</v>
      </c>
      <c r="E9">
        <f t="shared" ca="1" si="1"/>
        <v>11</v>
      </c>
      <c r="F9" t="s">
        <v>72</v>
      </c>
    </row>
    <row r="10" spans="1:6" x14ac:dyDescent="0.25">
      <c r="A10" s="3" t="s">
        <v>8</v>
      </c>
      <c r="B10" t="s">
        <v>29</v>
      </c>
      <c r="C10">
        <f t="shared" ca="1" si="0"/>
        <v>144</v>
      </c>
      <c r="D10" s="2">
        <v>100</v>
      </c>
      <c r="E10">
        <f t="shared" ca="1" si="1"/>
        <v>-44</v>
      </c>
      <c r="F10" t="s">
        <v>72</v>
      </c>
    </row>
    <row r="11" spans="1:6" x14ac:dyDescent="0.25">
      <c r="A11" s="3" t="s">
        <v>9</v>
      </c>
      <c r="B11" t="s">
        <v>33</v>
      </c>
      <c r="C11">
        <f t="shared" ca="1" si="0"/>
        <v>89</v>
      </c>
      <c r="D11">
        <v>104</v>
      </c>
      <c r="E11">
        <f t="shared" ca="1" si="1"/>
        <v>15</v>
      </c>
      <c r="F11" t="s">
        <v>74</v>
      </c>
    </row>
    <row r="12" spans="1:6" x14ac:dyDescent="0.25">
      <c r="A12" s="3" t="s">
        <v>10</v>
      </c>
      <c r="B12" t="s">
        <v>31</v>
      </c>
      <c r="C12">
        <f t="shared" ca="1" si="0"/>
        <v>199</v>
      </c>
      <c r="D12">
        <v>260</v>
      </c>
      <c r="E12">
        <f t="shared" ca="1" si="1"/>
        <v>61</v>
      </c>
      <c r="F12" t="s">
        <v>75</v>
      </c>
    </row>
    <row r="13" spans="1:6" x14ac:dyDescent="0.25">
      <c r="A13" s="3" t="s">
        <v>12</v>
      </c>
      <c r="B13" t="s">
        <v>33</v>
      </c>
      <c r="C13">
        <f t="shared" ca="1" si="0"/>
        <v>95.5</v>
      </c>
      <c r="D13">
        <v>78</v>
      </c>
      <c r="E13">
        <f t="shared" ca="1" si="1"/>
        <v>-17.5</v>
      </c>
      <c r="F13" t="s">
        <v>74</v>
      </c>
    </row>
    <row r="14" spans="1:6" x14ac:dyDescent="0.25">
      <c r="A14" s="3" t="s">
        <v>13</v>
      </c>
      <c r="B14" t="s">
        <v>30</v>
      </c>
      <c r="C14">
        <f t="shared" ca="1" si="0"/>
        <v>58</v>
      </c>
      <c r="D14" s="2">
        <v>100</v>
      </c>
      <c r="E14">
        <f t="shared" ca="1" si="1"/>
        <v>42</v>
      </c>
      <c r="F14" t="s">
        <v>72</v>
      </c>
    </row>
    <row r="15" spans="1:6" x14ac:dyDescent="0.25">
      <c r="A15" s="3" t="s">
        <v>14</v>
      </c>
      <c r="B15" t="s">
        <v>32</v>
      </c>
      <c r="C15">
        <f t="shared" ca="1" si="0"/>
        <v>82.5</v>
      </c>
      <c r="D15" s="2">
        <v>100</v>
      </c>
      <c r="E15">
        <f t="shared" ca="1" si="1"/>
        <v>17.5</v>
      </c>
      <c r="F15" t="s">
        <v>72</v>
      </c>
    </row>
    <row r="16" spans="1:6" x14ac:dyDescent="0.25">
      <c r="A16" s="3" t="s">
        <v>15</v>
      </c>
      <c r="B16" t="s">
        <v>30</v>
      </c>
      <c r="C16">
        <f t="shared" ca="1" si="0"/>
        <v>90.5</v>
      </c>
      <c r="D16">
        <v>104</v>
      </c>
      <c r="E16">
        <f t="shared" ca="1" si="1"/>
        <v>13.5</v>
      </c>
      <c r="F16" t="s">
        <v>74</v>
      </c>
    </row>
    <row r="17" spans="1:6" x14ac:dyDescent="0.25">
      <c r="A17" s="3" t="s">
        <v>16</v>
      </c>
      <c r="B17" t="s">
        <v>99</v>
      </c>
      <c r="C17">
        <f t="shared" ca="1" si="0"/>
        <v>69.5</v>
      </c>
      <c r="D17">
        <v>156</v>
      </c>
      <c r="E17">
        <f t="shared" ca="1" si="1"/>
        <v>86.5</v>
      </c>
      <c r="F17" t="s">
        <v>74</v>
      </c>
    </row>
    <row r="18" spans="1:6" x14ac:dyDescent="0.25">
      <c r="A18" s="3" t="s">
        <v>17</v>
      </c>
      <c r="B18" t="s">
        <v>36</v>
      </c>
      <c r="C18">
        <f t="shared" ca="1" si="0"/>
        <v>53.5</v>
      </c>
      <c r="D18">
        <v>24</v>
      </c>
      <c r="E18">
        <f t="shared" ca="1" si="1"/>
        <v>-29.5</v>
      </c>
      <c r="F18" t="s">
        <v>74</v>
      </c>
    </row>
    <row r="19" spans="1:6" x14ac:dyDescent="0.25">
      <c r="A19" s="3" t="s">
        <v>18</v>
      </c>
      <c r="B19" t="s">
        <v>99</v>
      </c>
      <c r="C19">
        <f ca="1">SUM(INDIRECT(CONCATENATE("'",A19,"'!","D2:D30")))</f>
        <v>69</v>
      </c>
      <c r="D19">
        <v>58</v>
      </c>
      <c r="E19">
        <f t="shared" ca="1" si="1"/>
        <v>-11</v>
      </c>
      <c r="F19" t="s">
        <v>74</v>
      </c>
    </row>
    <row r="20" spans="1:6" x14ac:dyDescent="0.25">
      <c r="A20" s="3" t="s">
        <v>19</v>
      </c>
      <c r="B20" t="s">
        <v>36</v>
      </c>
      <c r="C20">
        <f t="shared" ca="1" si="0"/>
        <v>77.5</v>
      </c>
      <c r="D20">
        <v>78</v>
      </c>
      <c r="E20">
        <f t="shared" ca="1" si="1"/>
        <v>0.5</v>
      </c>
      <c r="F20" t="s">
        <v>74</v>
      </c>
    </row>
    <row r="21" spans="1:6" x14ac:dyDescent="0.25">
      <c r="A21" s="3" t="s">
        <v>37</v>
      </c>
      <c r="B21" t="s">
        <v>33</v>
      </c>
      <c r="C21">
        <f t="shared" ca="1" si="0"/>
        <v>143</v>
      </c>
      <c r="D21" s="2">
        <v>100</v>
      </c>
      <c r="E21">
        <f t="shared" ca="1" si="1"/>
        <v>-43</v>
      </c>
      <c r="F21" t="s">
        <v>72</v>
      </c>
    </row>
    <row r="22" spans="1:6" x14ac:dyDescent="0.25">
      <c r="A22" s="3" t="s">
        <v>20</v>
      </c>
      <c r="B22" t="s">
        <v>33</v>
      </c>
      <c r="C22">
        <f t="shared" ca="1" si="0"/>
        <v>82</v>
      </c>
      <c r="D22" s="2">
        <v>100</v>
      </c>
      <c r="E22">
        <f t="shared" ca="1" si="1"/>
        <v>18</v>
      </c>
      <c r="F22" t="s">
        <v>72</v>
      </c>
    </row>
    <row r="23" spans="1:6" x14ac:dyDescent="0.25">
      <c r="A23" s="3" t="s">
        <v>21</v>
      </c>
      <c r="B23" t="s">
        <v>36</v>
      </c>
      <c r="C23">
        <f t="shared" ca="1" si="0"/>
        <v>79</v>
      </c>
      <c r="D23">
        <v>104</v>
      </c>
      <c r="E23">
        <f t="shared" ca="1" si="1"/>
        <v>25</v>
      </c>
      <c r="F23" t="s">
        <v>74</v>
      </c>
    </row>
    <row r="24" spans="1:6" x14ac:dyDescent="0.25">
      <c r="A24" s="3" t="s">
        <v>22</v>
      </c>
      <c r="B24" t="s">
        <v>36</v>
      </c>
      <c r="C24">
        <f t="shared" ca="1" si="0"/>
        <v>112</v>
      </c>
      <c r="D24">
        <v>208</v>
      </c>
      <c r="E24">
        <f t="shared" ca="1" si="1"/>
        <v>96</v>
      </c>
      <c r="F24" t="s">
        <v>75</v>
      </c>
    </row>
    <row r="25" spans="1:6" x14ac:dyDescent="0.25">
      <c r="A25" s="3" t="s">
        <v>23</v>
      </c>
      <c r="B25" t="s">
        <v>30</v>
      </c>
      <c r="C25">
        <f t="shared" ca="1" si="0"/>
        <v>15</v>
      </c>
      <c r="D25">
        <v>104</v>
      </c>
      <c r="E25">
        <f t="shared" ca="1" si="1"/>
        <v>89</v>
      </c>
      <c r="F25" t="s">
        <v>74</v>
      </c>
    </row>
    <row r="26" spans="1:6" x14ac:dyDescent="0.25">
      <c r="A26" s="3" t="s">
        <v>24</v>
      </c>
      <c r="B26" t="s">
        <v>36</v>
      </c>
      <c r="C26">
        <f t="shared" ca="1" si="0"/>
        <v>65</v>
      </c>
      <c r="D26">
        <v>18</v>
      </c>
      <c r="E26">
        <f t="shared" ca="1" si="1"/>
        <v>-47</v>
      </c>
      <c r="F26" t="s">
        <v>74</v>
      </c>
    </row>
    <row r="27" spans="1:6" x14ac:dyDescent="0.25">
      <c r="A27" s="3" t="s">
        <v>25</v>
      </c>
      <c r="B27" t="s">
        <v>98</v>
      </c>
      <c r="C27">
        <f t="shared" ca="1" si="0"/>
        <v>58</v>
      </c>
      <c r="D27">
        <v>48</v>
      </c>
      <c r="E27">
        <f t="shared" ca="1" si="1"/>
        <v>-10</v>
      </c>
      <c r="F27" t="s">
        <v>74</v>
      </c>
    </row>
    <row r="31" spans="1:6" x14ac:dyDescent="0.25">
      <c r="C31">
        <f ca="1">SUM(C2:C27)</f>
        <v>2217</v>
      </c>
    </row>
  </sheetData>
  <autoFilter ref="A1:F31"/>
  <conditionalFormatting sqref="C2:C27">
    <cfRule type="cellIs" dxfId="0" priority="1" operator="equal">
      <formula>0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7"/>
  <sheetViews>
    <sheetView workbookViewId="0">
      <selection activeCell="C27" sqref="C27"/>
    </sheetView>
  </sheetViews>
  <sheetFormatPr defaultRowHeight="15" x14ac:dyDescent="0.25"/>
  <cols>
    <col min="1" max="1" width="9.28515625" bestFit="1" customWidth="1"/>
  </cols>
  <sheetData>
    <row r="1" spans="1:2" x14ac:dyDescent="0.25">
      <c r="A1" t="s">
        <v>95</v>
      </c>
      <c r="B1" t="s">
        <v>94</v>
      </c>
    </row>
    <row r="2" spans="1:2" x14ac:dyDescent="0.25">
      <c r="A2" s="3" t="s">
        <v>2</v>
      </c>
      <c r="B2">
        <v>28979</v>
      </c>
    </row>
    <row r="3" spans="1:2" x14ac:dyDescent="0.25">
      <c r="A3" s="3" t="s">
        <v>3</v>
      </c>
      <c r="B3">
        <v>9092</v>
      </c>
    </row>
    <row r="4" spans="1:2" x14ac:dyDescent="0.25">
      <c r="A4" s="3" t="s">
        <v>4</v>
      </c>
      <c r="B4">
        <v>19036</v>
      </c>
    </row>
    <row r="5" spans="1:2" x14ac:dyDescent="0.25">
      <c r="A5" s="3" t="s">
        <v>97</v>
      </c>
      <c r="B5">
        <v>237</v>
      </c>
    </row>
    <row r="6" spans="1:2" x14ac:dyDescent="0.25">
      <c r="A6" s="3" t="s">
        <v>5</v>
      </c>
      <c r="B6">
        <v>147</v>
      </c>
    </row>
    <row r="7" spans="1:2" x14ac:dyDescent="0.25">
      <c r="A7" s="3" t="s">
        <v>6</v>
      </c>
      <c r="B7">
        <v>9395</v>
      </c>
    </row>
    <row r="8" spans="1:2" x14ac:dyDescent="0.25">
      <c r="A8" s="3" t="s">
        <v>11</v>
      </c>
      <c r="B8">
        <v>30113</v>
      </c>
    </row>
    <row r="9" spans="1:2" x14ac:dyDescent="0.25">
      <c r="A9" s="3" t="s">
        <v>7</v>
      </c>
      <c r="B9">
        <v>8490</v>
      </c>
    </row>
    <row r="10" spans="1:2" x14ac:dyDescent="0.25">
      <c r="A10" s="3" t="s">
        <v>8</v>
      </c>
      <c r="B10">
        <v>9010</v>
      </c>
    </row>
    <row r="11" spans="1:2" x14ac:dyDescent="0.25">
      <c r="A11" s="3" t="s">
        <v>9</v>
      </c>
      <c r="B11">
        <v>29274</v>
      </c>
    </row>
    <row r="12" spans="1:2" x14ac:dyDescent="0.25">
      <c r="A12" s="3" t="s">
        <v>10</v>
      </c>
      <c r="B12">
        <v>8613</v>
      </c>
    </row>
    <row r="13" spans="1:2" x14ac:dyDescent="0.25">
      <c r="A13" s="3" t="s">
        <v>12</v>
      </c>
      <c r="B13">
        <v>7330</v>
      </c>
    </row>
    <row r="14" spans="1:2" x14ac:dyDescent="0.25">
      <c r="A14" s="3" t="s">
        <v>13</v>
      </c>
      <c r="B14">
        <v>182</v>
      </c>
    </row>
    <row r="15" spans="1:2" x14ac:dyDescent="0.25">
      <c r="A15" s="3" t="s">
        <v>14</v>
      </c>
      <c r="B15">
        <v>11951</v>
      </c>
    </row>
    <row r="16" spans="1:2" x14ac:dyDescent="0.25">
      <c r="A16" s="3" t="s">
        <v>15</v>
      </c>
      <c r="B16">
        <v>5227</v>
      </c>
    </row>
    <row r="17" spans="1:2" x14ac:dyDescent="0.25">
      <c r="A17" s="3" t="s">
        <v>16</v>
      </c>
      <c r="B17">
        <v>28566</v>
      </c>
    </row>
    <row r="18" spans="1:2" x14ac:dyDescent="0.25">
      <c r="A18" s="3" t="s">
        <v>17</v>
      </c>
      <c r="B18">
        <v>29219</v>
      </c>
    </row>
    <row r="19" spans="1:2" x14ac:dyDescent="0.25">
      <c r="A19" s="3" t="s">
        <v>18</v>
      </c>
      <c r="B19">
        <v>28271</v>
      </c>
    </row>
    <row r="20" spans="1:2" x14ac:dyDescent="0.25">
      <c r="A20" s="3" t="s">
        <v>19</v>
      </c>
      <c r="B20">
        <v>203</v>
      </c>
    </row>
    <row r="21" spans="1:2" x14ac:dyDescent="0.25">
      <c r="A21" s="3" t="s">
        <v>37</v>
      </c>
      <c r="B21">
        <v>25097</v>
      </c>
    </row>
    <row r="22" spans="1:2" x14ac:dyDescent="0.25">
      <c r="A22" s="3" t="s">
        <v>20</v>
      </c>
      <c r="B22">
        <v>29239</v>
      </c>
    </row>
    <row r="23" spans="1:2" x14ac:dyDescent="0.25">
      <c r="A23" s="3" t="s">
        <v>21</v>
      </c>
      <c r="B23">
        <v>28239</v>
      </c>
    </row>
    <row r="24" spans="1:2" x14ac:dyDescent="0.25">
      <c r="A24" s="3" t="s">
        <v>22</v>
      </c>
      <c r="B24">
        <v>212</v>
      </c>
    </row>
    <row r="25" spans="1:2" x14ac:dyDescent="0.25">
      <c r="A25" s="3" t="s">
        <v>23</v>
      </c>
      <c r="B25">
        <v>29505</v>
      </c>
    </row>
    <row r="26" spans="1:2" x14ac:dyDescent="0.25">
      <c r="A26" s="3" t="s">
        <v>24</v>
      </c>
      <c r="B26">
        <v>9502</v>
      </c>
    </row>
    <row r="27" spans="1:2" x14ac:dyDescent="0.25">
      <c r="A27" s="3" t="s">
        <v>25</v>
      </c>
      <c r="B27">
        <v>9451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6"/>
  <sheetViews>
    <sheetView workbookViewId="0">
      <selection activeCell="F32" sqref="F32"/>
    </sheetView>
  </sheetViews>
  <sheetFormatPr defaultRowHeight="15" x14ac:dyDescent="0.25"/>
  <cols>
    <col min="1" max="1" width="12.42578125" bestFit="1" customWidth="1"/>
  </cols>
  <sheetData>
    <row r="1" spans="1:2" x14ac:dyDescent="0.25">
      <c r="A1" t="s">
        <v>48</v>
      </c>
      <c r="B1">
        <v>1</v>
      </c>
    </row>
    <row r="2" spans="1:2" x14ac:dyDescent="0.25">
      <c r="A2" t="s">
        <v>50</v>
      </c>
      <c r="B2">
        <f>(52*5)- 7</f>
        <v>253</v>
      </c>
    </row>
    <row r="3" spans="1:2" x14ac:dyDescent="0.25">
      <c r="A3" t="s">
        <v>41</v>
      </c>
      <c r="B3">
        <v>12</v>
      </c>
    </row>
    <row r="4" spans="1:2" x14ac:dyDescent="0.25">
      <c r="A4" t="s">
        <v>45</v>
      </c>
      <c r="B4">
        <v>4</v>
      </c>
    </row>
    <row r="5" spans="1:2" x14ac:dyDescent="0.25">
      <c r="A5" t="s">
        <v>116</v>
      </c>
      <c r="B5">
        <v>2</v>
      </c>
    </row>
    <row r="6" spans="1:2" x14ac:dyDescent="0.25">
      <c r="A6" t="s">
        <v>51</v>
      </c>
      <c r="B6">
        <v>52</v>
      </c>
    </row>
  </sheetData>
  <sortState ref="A1:B6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6"/>
  <sheetViews>
    <sheetView zoomScaleNormal="100" workbookViewId="0">
      <selection activeCell="B1" sqref="B1:B1048576"/>
    </sheetView>
  </sheetViews>
  <sheetFormatPr defaultRowHeight="15" x14ac:dyDescent="0.25"/>
  <cols>
    <col min="1" max="1" width="54.28515625" bestFit="1" customWidth="1"/>
    <col min="2" max="2" width="12.5703125" bestFit="1" customWidth="1"/>
    <col min="3" max="3" width="13.42578125" bestFit="1" customWidth="1"/>
    <col min="4" max="4" width="11.85546875" bestFit="1" customWidth="1"/>
  </cols>
  <sheetData>
    <row r="1" spans="1:4" x14ac:dyDescent="0.25">
      <c r="A1" t="s">
        <v>27</v>
      </c>
      <c r="B1" t="s">
        <v>28</v>
      </c>
      <c r="C1" t="s">
        <v>100</v>
      </c>
      <c r="D1" t="s">
        <v>181</v>
      </c>
    </row>
    <row r="2" spans="1:4" x14ac:dyDescent="0.25">
      <c r="A2" s="1" t="s">
        <v>55</v>
      </c>
      <c r="B2" s="1" t="s">
        <v>116</v>
      </c>
      <c r="C2" t="s">
        <v>117</v>
      </c>
      <c r="D2" t="s">
        <v>173</v>
      </c>
    </row>
    <row r="3" spans="1:4" x14ac:dyDescent="0.25">
      <c r="A3" s="1" t="s">
        <v>78</v>
      </c>
      <c r="B3" s="1" t="s">
        <v>45</v>
      </c>
      <c r="C3" t="s">
        <v>180</v>
      </c>
      <c r="D3" t="s">
        <v>173</v>
      </c>
    </row>
    <row r="4" spans="1:4" x14ac:dyDescent="0.25">
      <c r="A4" t="s">
        <v>83</v>
      </c>
      <c r="B4" t="s">
        <v>48</v>
      </c>
      <c r="C4" t="s">
        <v>118</v>
      </c>
      <c r="D4" t="s">
        <v>174</v>
      </c>
    </row>
    <row r="5" spans="1:4" x14ac:dyDescent="0.25">
      <c r="A5" s="1" t="s">
        <v>93</v>
      </c>
      <c r="B5" s="1" t="s">
        <v>45</v>
      </c>
      <c r="C5" t="s">
        <v>119</v>
      </c>
      <c r="D5" t="s">
        <v>173</v>
      </c>
    </row>
    <row r="6" spans="1:4" x14ac:dyDescent="0.25">
      <c r="A6" s="1" t="s">
        <v>82</v>
      </c>
      <c r="B6" s="1" t="s">
        <v>41</v>
      </c>
      <c r="C6" t="s">
        <v>120</v>
      </c>
      <c r="D6" t="s">
        <v>175</v>
      </c>
    </row>
    <row r="7" spans="1:4" x14ac:dyDescent="0.25">
      <c r="A7" t="s">
        <v>121</v>
      </c>
      <c r="B7" t="s">
        <v>41</v>
      </c>
      <c r="C7" t="s">
        <v>122</v>
      </c>
      <c r="D7" t="s">
        <v>173</v>
      </c>
    </row>
    <row r="8" spans="1:4" x14ac:dyDescent="0.25">
      <c r="A8" t="s">
        <v>68</v>
      </c>
      <c r="B8" t="s">
        <v>41</v>
      </c>
      <c r="C8" t="s">
        <v>123</v>
      </c>
      <c r="D8" t="s">
        <v>176</v>
      </c>
    </row>
    <row r="9" spans="1:4" x14ac:dyDescent="0.25">
      <c r="A9" t="s">
        <v>89</v>
      </c>
      <c r="B9" t="s">
        <v>51</v>
      </c>
      <c r="C9" t="s">
        <v>124</v>
      </c>
      <c r="D9" t="s">
        <v>173</v>
      </c>
    </row>
    <row r="10" spans="1:4" x14ac:dyDescent="0.25">
      <c r="A10" t="s">
        <v>59</v>
      </c>
      <c r="B10" t="s">
        <v>116</v>
      </c>
      <c r="C10" t="s">
        <v>125</v>
      </c>
      <c r="D10" t="s">
        <v>173</v>
      </c>
    </row>
    <row r="11" spans="1:4" x14ac:dyDescent="0.25">
      <c r="A11" t="s">
        <v>104</v>
      </c>
      <c r="B11" t="s">
        <v>51</v>
      </c>
      <c r="C11" t="s">
        <v>126</v>
      </c>
      <c r="D11" t="s">
        <v>173</v>
      </c>
    </row>
    <row r="12" spans="1:4" x14ac:dyDescent="0.25">
      <c r="A12" s="1" t="s">
        <v>107</v>
      </c>
      <c r="B12" s="1" t="s">
        <v>51</v>
      </c>
      <c r="C12" t="s">
        <v>129</v>
      </c>
      <c r="D12" t="s">
        <v>173</v>
      </c>
    </row>
    <row r="13" spans="1:4" x14ac:dyDescent="0.25">
      <c r="A13" t="s">
        <v>105</v>
      </c>
      <c r="B13" t="s">
        <v>51</v>
      </c>
      <c r="C13" t="s">
        <v>127</v>
      </c>
      <c r="D13" t="s">
        <v>173</v>
      </c>
    </row>
    <row r="14" spans="1:4" x14ac:dyDescent="0.25">
      <c r="A14" s="1" t="s">
        <v>108</v>
      </c>
      <c r="B14" s="1" t="s">
        <v>51</v>
      </c>
      <c r="C14" t="s">
        <v>130</v>
      </c>
      <c r="D14" t="s">
        <v>173</v>
      </c>
    </row>
    <row r="15" spans="1:4" x14ac:dyDescent="0.25">
      <c r="A15" t="s">
        <v>106</v>
      </c>
      <c r="B15" t="s">
        <v>51</v>
      </c>
      <c r="C15" t="s">
        <v>128</v>
      </c>
      <c r="D15" t="s">
        <v>173</v>
      </c>
    </row>
    <row r="16" spans="1:4" x14ac:dyDescent="0.25">
      <c r="A16" s="1" t="s">
        <v>137</v>
      </c>
      <c r="B16" s="1" t="s">
        <v>51</v>
      </c>
      <c r="C16" t="s">
        <v>139</v>
      </c>
      <c r="D16" t="s">
        <v>173</v>
      </c>
    </row>
    <row r="17" spans="1:4" x14ac:dyDescent="0.25">
      <c r="A17" t="s">
        <v>88</v>
      </c>
      <c r="B17" t="s">
        <v>41</v>
      </c>
      <c r="C17" t="s">
        <v>131</v>
      </c>
      <c r="D17" t="s">
        <v>176</v>
      </c>
    </row>
    <row r="18" spans="1:4" x14ac:dyDescent="0.25">
      <c r="A18" t="s">
        <v>49</v>
      </c>
      <c r="B18" t="s">
        <v>48</v>
      </c>
      <c r="C18" t="s">
        <v>132</v>
      </c>
      <c r="D18" t="s">
        <v>173</v>
      </c>
    </row>
    <row r="19" spans="1:4" x14ac:dyDescent="0.25">
      <c r="A19" t="s">
        <v>87</v>
      </c>
      <c r="B19" t="s">
        <v>41</v>
      </c>
      <c r="C19" t="s">
        <v>134</v>
      </c>
      <c r="D19" t="s">
        <v>177</v>
      </c>
    </row>
    <row r="20" spans="1:4" x14ac:dyDescent="0.25">
      <c r="A20" t="s">
        <v>103</v>
      </c>
      <c r="B20" t="s">
        <v>41</v>
      </c>
      <c r="C20" t="s">
        <v>135</v>
      </c>
      <c r="D20" t="s">
        <v>177</v>
      </c>
    </row>
    <row r="21" spans="1:4" x14ac:dyDescent="0.25">
      <c r="A21" t="s">
        <v>43</v>
      </c>
      <c r="B21" t="s">
        <v>41</v>
      </c>
      <c r="C21" t="s">
        <v>136</v>
      </c>
      <c r="D21" t="s">
        <v>176</v>
      </c>
    </row>
    <row r="22" spans="1:4" x14ac:dyDescent="0.25">
      <c r="A22" t="s">
        <v>109</v>
      </c>
      <c r="B22" t="s">
        <v>41</v>
      </c>
      <c r="C22" t="s">
        <v>133</v>
      </c>
      <c r="D22" t="s">
        <v>173</v>
      </c>
    </row>
    <row r="23" spans="1:4" x14ac:dyDescent="0.25">
      <c r="A23" s="1" t="s">
        <v>80</v>
      </c>
      <c r="B23" s="1" t="s">
        <v>41</v>
      </c>
      <c r="C23" t="s">
        <v>138</v>
      </c>
      <c r="D23" t="s">
        <v>175</v>
      </c>
    </row>
    <row r="24" spans="1:4" x14ac:dyDescent="0.25">
      <c r="A24" t="s">
        <v>67</v>
      </c>
      <c r="B24" t="s">
        <v>45</v>
      </c>
      <c r="C24" t="s">
        <v>140</v>
      </c>
      <c r="D24" t="s">
        <v>173</v>
      </c>
    </row>
    <row r="25" spans="1:4" x14ac:dyDescent="0.25">
      <c r="A25" s="3" t="s">
        <v>111</v>
      </c>
      <c r="B25" t="s">
        <v>45</v>
      </c>
      <c r="C25" t="s">
        <v>143</v>
      </c>
      <c r="D25" t="s">
        <v>173</v>
      </c>
    </row>
    <row r="26" spans="1:4" x14ac:dyDescent="0.25">
      <c r="A26" t="s">
        <v>110</v>
      </c>
      <c r="B26" t="s">
        <v>45</v>
      </c>
      <c r="C26" t="s">
        <v>142</v>
      </c>
      <c r="D26" t="s">
        <v>173</v>
      </c>
    </row>
    <row r="27" spans="1:4" x14ac:dyDescent="0.25">
      <c r="A27" t="s">
        <v>112</v>
      </c>
      <c r="B27" t="s">
        <v>45</v>
      </c>
      <c r="C27" t="s">
        <v>144</v>
      </c>
      <c r="D27" t="s">
        <v>173</v>
      </c>
    </row>
    <row r="28" spans="1:4" x14ac:dyDescent="0.25">
      <c r="A28" t="s">
        <v>56</v>
      </c>
      <c r="B28" t="s">
        <v>45</v>
      </c>
      <c r="C28" t="s">
        <v>141</v>
      </c>
      <c r="D28" t="s">
        <v>173</v>
      </c>
    </row>
    <row r="29" spans="1:4" x14ac:dyDescent="0.25">
      <c r="A29" t="s">
        <v>113</v>
      </c>
      <c r="B29" t="s">
        <v>45</v>
      </c>
      <c r="C29" t="s">
        <v>145</v>
      </c>
      <c r="D29" t="s">
        <v>173</v>
      </c>
    </row>
    <row r="30" spans="1:4" x14ac:dyDescent="0.25">
      <c r="A30" s="1" t="s">
        <v>90</v>
      </c>
      <c r="B30" s="1" t="s">
        <v>45</v>
      </c>
      <c r="C30" t="s">
        <v>147</v>
      </c>
      <c r="D30" t="s">
        <v>173</v>
      </c>
    </row>
    <row r="31" spans="1:4" x14ac:dyDescent="0.25">
      <c r="A31" t="s">
        <v>114</v>
      </c>
      <c r="B31" t="s">
        <v>45</v>
      </c>
      <c r="C31" t="s">
        <v>146</v>
      </c>
      <c r="D31" t="s">
        <v>173</v>
      </c>
    </row>
    <row r="32" spans="1:4" x14ac:dyDescent="0.25">
      <c r="A32" t="s">
        <v>91</v>
      </c>
      <c r="B32" t="s">
        <v>45</v>
      </c>
      <c r="C32" t="s">
        <v>149</v>
      </c>
      <c r="D32" t="s">
        <v>177</v>
      </c>
    </row>
    <row r="33" spans="1:4" x14ac:dyDescent="0.25">
      <c r="A33" t="s">
        <v>115</v>
      </c>
      <c r="B33" t="s">
        <v>45</v>
      </c>
      <c r="C33" t="s">
        <v>148</v>
      </c>
      <c r="D33" t="s">
        <v>173</v>
      </c>
    </row>
    <row r="34" spans="1:4" x14ac:dyDescent="0.25">
      <c r="A34" s="1" t="s">
        <v>58</v>
      </c>
      <c r="B34" s="1" t="s">
        <v>45</v>
      </c>
      <c r="C34" t="s">
        <v>150</v>
      </c>
      <c r="D34" t="s">
        <v>173</v>
      </c>
    </row>
    <row r="35" spans="1:4" x14ac:dyDescent="0.25">
      <c r="A35" t="s">
        <v>102</v>
      </c>
      <c r="B35" t="s">
        <v>45</v>
      </c>
      <c r="C35" t="s">
        <v>151</v>
      </c>
      <c r="D35" t="s">
        <v>178</v>
      </c>
    </row>
    <row r="36" spans="1:4" x14ac:dyDescent="0.25">
      <c r="A36" t="s">
        <v>46</v>
      </c>
      <c r="B36" t="s">
        <v>45</v>
      </c>
      <c r="C36" t="s">
        <v>152</v>
      </c>
      <c r="D36" t="s">
        <v>177</v>
      </c>
    </row>
    <row r="37" spans="1:4" x14ac:dyDescent="0.25">
      <c r="A37" s="1" t="s">
        <v>76</v>
      </c>
      <c r="B37" t="s">
        <v>116</v>
      </c>
      <c r="C37" t="s">
        <v>153</v>
      </c>
      <c r="D37" t="s">
        <v>177</v>
      </c>
    </row>
    <row r="38" spans="1:4" x14ac:dyDescent="0.25">
      <c r="A38" s="1" t="s">
        <v>101</v>
      </c>
      <c r="B38" s="1" t="s">
        <v>45</v>
      </c>
      <c r="C38" t="s">
        <v>154</v>
      </c>
      <c r="D38" t="s">
        <v>173</v>
      </c>
    </row>
    <row r="39" spans="1:4" x14ac:dyDescent="0.25">
      <c r="A39" t="s">
        <v>71</v>
      </c>
      <c r="B39" t="s">
        <v>48</v>
      </c>
      <c r="C39" t="s">
        <v>155</v>
      </c>
      <c r="D39" t="s">
        <v>177</v>
      </c>
    </row>
    <row r="40" spans="1:4" x14ac:dyDescent="0.25">
      <c r="A40" t="s">
        <v>44</v>
      </c>
      <c r="B40" t="s">
        <v>45</v>
      </c>
      <c r="C40" t="s">
        <v>156</v>
      </c>
      <c r="D40" t="s">
        <v>179</v>
      </c>
    </row>
    <row r="41" spans="1:4" x14ac:dyDescent="0.25">
      <c r="A41" t="s">
        <v>61</v>
      </c>
      <c r="B41" t="s">
        <v>48</v>
      </c>
      <c r="C41" t="s">
        <v>157</v>
      </c>
      <c r="D41" t="s">
        <v>177</v>
      </c>
    </row>
    <row r="42" spans="1:4" x14ac:dyDescent="0.25">
      <c r="A42" t="s">
        <v>69</v>
      </c>
      <c r="B42" t="s">
        <v>45</v>
      </c>
      <c r="C42" t="s">
        <v>158</v>
      </c>
      <c r="D42" t="s">
        <v>179</v>
      </c>
    </row>
    <row r="43" spans="1:4" x14ac:dyDescent="0.25">
      <c r="A43" s="1" t="s">
        <v>60</v>
      </c>
      <c r="B43" s="1" t="s">
        <v>116</v>
      </c>
      <c r="C43" t="s">
        <v>159</v>
      </c>
      <c r="D43" t="s">
        <v>173</v>
      </c>
    </row>
    <row r="44" spans="1:4" x14ac:dyDescent="0.25">
      <c r="A44" s="1" t="s">
        <v>57</v>
      </c>
      <c r="B44" s="1" t="s">
        <v>116</v>
      </c>
      <c r="C44" t="s">
        <v>160</v>
      </c>
      <c r="D44" t="s">
        <v>173</v>
      </c>
    </row>
    <row r="45" spans="1:4" x14ac:dyDescent="0.25">
      <c r="A45" t="s">
        <v>64</v>
      </c>
      <c r="B45" t="s">
        <v>45</v>
      </c>
      <c r="C45" t="s">
        <v>161</v>
      </c>
      <c r="D45" t="s">
        <v>178</v>
      </c>
    </row>
    <row r="46" spans="1:4" x14ac:dyDescent="0.25">
      <c r="A46" t="s">
        <v>47</v>
      </c>
      <c r="B46" t="s">
        <v>48</v>
      </c>
      <c r="C46" t="s">
        <v>162</v>
      </c>
      <c r="D46" t="s">
        <v>177</v>
      </c>
    </row>
    <row r="47" spans="1:4" x14ac:dyDescent="0.25">
      <c r="A47" t="s">
        <v>65</v>
      </c>
      <c r="B47" t="s">
        <v>48</v>
      </c>
      <c r="C47" t="s">
        <v>163</v>
      </c>
      <c r="D47" t="s">
        <v>173</v>
      </c>
    </row>
    <row r="48" spans="1:4" x14ac:dyDescent="0.25">
      <c r="A48" t="s">
        <v>63</v>
      </c>
      <c r="B48" t="s">
        <v>45</v>
      </c>
      <c r="C48" t="s">
        <v>164</v>
      </c>
      <c r="D48" t="s">
        <v>173</v>
      </c>
    </row>
    <row r="49" spans="1:4" x14ac:dyDescent="0.25">
      <c r="A49" t="s">
        <v>62</v>
      </c>
      <c r="B49" t="s">
        <v>45</v>
      </c>
      <c r="C49" t="s">
        <v>165</v>
      </c>
      <c r="D49" t="s">
        <v>173</v>
      </c>
    </row>
    <row r="50" spans="1:4" x14ac:dyDescent="0.25">
      <c r="A50" s="1" t="s">
        <v>81</v>
      </c>
      <c r="B50" s="1" t="s">
        <v>41</v>
      </c>
      <c r="C50" t="s">
        <v>166</v>
      </c>
      <c r="D50" t="s">
        <v>174</v>
      </c>
    </row>
    <row r="51" spans="1:4" x14ac:dyDescent="0.25">
      <c r="A51" t="s">
        <v>66</v>
      </c>
      <c r="B51" t="s">
        <v>45</v>
      </c>
      <c r="C51" t="s">
        <v>167</v>
      </c>
      <c r="D51" t="s">
        <v>177</v>
      </c>
    </row>
    <row r="52" spans="1:4" x14ac:dyDescent="0.25">
      <c r="A52" t="s">
        <v>86</v>
      </c>
      <c r="B52" t="s">
        <v>45</v>
      </c>
      <c r="C52" t="s">
        <v>168</v>
      </c>
      <c r="D52" t="s">
        <v>177</v>
      </c>
    </row>
    <row r="53" spans="1:4" x14ac:dyDescent="0.25">
      <c r="A53" t="s">
        <v>85</v>
      </c>
      <c r="B53" t="s">
        <v>45</v>
      </c>
      <c r="C53" t="s">
        <v>169</v>
      </c>
      <c r="D53" t="s">
        <v>177</v>
      </c>
    </row>
    <row r="54" spans="1:4" x14ac:dyDescent="0.25">
      <c r="A54" s="1" t="s">
        <v>70</v>
      </c>
      <c r="B54" s="1" t="s">
        <v>45</v>
      </c>
      <c r="C54" t="s">
        <v>170</v>
      </c>
      <c r="D54" t="s">
        <v>173</v>
      </c>
    </row>
    <row r="55" spans="1:4" x14ac:dyDescent="0.25">
      <c r="A55" s="1" t="s">
        <v>79</v>
      </c>
      <c r="B55" t="s">
        <v>41</v>
      </c>
      <c r="C55" t="s">
        <v>171</v>
      </c>
      <c r="D55" t="s">
        <v>178</v>
      </c>
    </row>
    <row r="56" spans="1:4" x14ac:dyDescent="0.25">
      <c r="A56" t="s">
        <v>42</v>
      </c>
      <c r="B56" t="s">
        <v>41</v>
      </c>
      <c r="C56" t="s">
        <v>172</v>
      </c>
      <c r="D56" t="s">
        <v>173</v>
      </c>
    </row>
  </sheetData>
  <autoFilter ref="A1:D56">
    <sortState ref="A2:D56">
      <sortCondition ref="A1:A56"/>
    </sortState>
  </autoFilter>
  <sortState ref="A2:D56">
    <sortCondition ref="D56"/>
  </sortState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'Freq Lookup'!$A$1:$A$6</xm:f>
          </x14:formula1>
          <xm:sqref>B2:B101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2"/>
  <sheetViews>
    <sheetView workbookViewId="0">
      <selection activeCell="B1" sqref="B1:B1048576"/>
    </sheetView>
  </sheetViews>
  <sheetFormatPr defaultRowHeight="15" x14ac:dyDescent="0.25"/>
  <cols>
    <col min="1" max="1" width="42.42578125" style="1" bestFit="1" customWidth="1"/>
    <col min="2" max="2" width="9.42578125" style="1" bestFit="1" customWidth="1"/>
    <col min="3" max="3" width="7.28515625" style="1" bestFit="1" customWidth="1"/>
    <col min="4" max="4" width="12.140625" style="1" bestFit="1" customWidth="1"/>
    <col min="5" max="5" width="8.85546875" style="1" bestFit="1" customWidth="1"/>
    <col min="6" max="6" width="11.140625" style="1" bestFit="1" customWidth="1"/>
    <col min="7" max="16384" width="9.140625" style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VLOOKUP(B2,'Freq Lookup'!$A$1:$B$6,2,FALSE)*C2</f>
        <v>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VLOOKUP(B3,'Freq Lookup'!$A$1:$B$6,2,FALSE)*C3</f>
        <v>12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VLOOKUP(B4,'Freq Lookup'!$A$1:$B$6,2,FALSE)*C4</f>
        <v>3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109</v>
      </c>
      <c r="B5" t="s">
        <v>41</v>
      </c>
      <c r="C5">
        <v>0.5</v>
      </c>
      <c r="D5" s="1">
        <f>VLOOKUP(B5,'Freq Lookup'!$A$1:$B$6,2,FALSE)*C5</f>
        <v>6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44</v>
      </c>
      <c r="B6" t="s">
        <v>45</v>
      </c>
      <c r="C6">
        <v>0.25</v>
      </c>
      <c r="D6" s="1">
        <f>VLOOKUP(B6,'Freq Lookup'!$A$1:$B$6,2,FALSE)*C6</f>
        <v>1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Update the firmware on the client's NAS device(s)</v>
      </c>
      <c r="G6" s="1" t="str">
        <f>VLOOKUP($A6,Tasks!$A$2:$D$101,4,FALSE)</f>
        <v>Storage</v>
      </c>
    </row>
    <row r="7" spans="1:7" x14ac:dyDescent="0.25">
      <c r="A7" t="s">
        <v>46</v>
      </c>
      <c r="B7" t="s">
        <v>45</v>
      </c>
      <c r="C7">
        <v>0.5</v>
      </c>
      <c r="D7" s="1">
        <f>VLOOKUP(B7,'Freq Lookup'!$A$1:$B$6,2,FALSE)*C7</f>
        <v>2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Install the reccommended firewall firmware</v>
      </c>
      <c r="G7" s="1" t="str">
        <f>VLOOKUP($A7,Tasks!$A$2:$D$101,4,FALSE)</f>
        <v>Network</v>
      </c>
    </row>
    <row r="8" spans="1:7" x14ac:dyDescent="0.25">
      <c r="A8" t="s">
        <v>47</v>
      </c>
      <c r="B8" t="s">
        <v>48</v>
      </c>
      <c r="C8">
        <v>1</v>
      </c>
      <c r="D8" s="1">
        <f>VLOOKUP(B8,'Freq Lookup'!$A$1:$B$6,2,FALSE)*C8</f>
        <v>1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Update the firmware on the client's switches</v>
      </c>
      <c r="G8" s="1" t="str">
        <f>VLOOKUP($A8,Tasks!$A$2:$D$101,4,FALSE)</f>
        <v>Network</v>
      </c>
    </row>
    <row r="9" spans="1:7" x14ac:dyDescent="0.25">
      <c r="A9" t="s">
        <v>83</v>
      </c>
      <c r="B9" t="s">
        <v>48</v>
      </c>
      <c r="C9">
        <v>1</v>
      </c>
      <c r="D9" s="1">
        <f>VLOOKUP(B9,'Freq Lookup'!$A$1:$B$6,2,FALSE)*C9</f>
        <v>1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Perform an audit of the client's switch configuration for issues</v>
      </c>
      <c r="G9" s="1" t="str">
        <f>VLOOKUP($A9,Tasks!$A$2:$D$101,4,FALSE)</f>
        <v>Security</v>
      </c>
    </row>
    <row r="10" spans="1:7" x14ac:dyDescent="0.25">
      <c r="A10" t="s">
        <v>103</v>
      </c>
      <c r="B10" t="s">
        <v>41</v>
      </c>
      <c r="C10">
        <v>1</v>
      </c>
      <c r="D10" s="1">
        <f>_xlfn.IFNA(VLOOKUP(B10,'Freq Lookup'!$A$1:$B$6,2,FALSE)*C10, 0)</f>
        <v>12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Utilizing Auvik, review the client's network for issues. Ensure all infrastructure devices are SNMP \ login integrated. Ensure that all devices classified appropraitely.</v>
      </c>
      <c r="G10" s="1" t="str">
        <f>VLOOKUP($A10,Tasks!$A$2:$D$101,4,FALSE)</f>
        <v>Network</v>
      </c>
    </row>
    <row r="11" spans="1:7" x14ac:dyDescent="0.25">
      <c r="A11" s="1" t="s">
        <v>93</v>
      </c>
      <c r="B11" t="s">
        <v>45</v>
      </c>
      <c r="C11" s="1">
        <v>0.5</v>
      </c>
      <c r="D11" s="1">
        <f>_xlfn.IFNA(VLOOKUP(B11,'Freq Lookup'!$A$1:$B$6,2,FALSE)*C11, 0)</f>
        <v>2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Review the patch approval policies. Ensure all servers and workstations that are supposed to be automatically patched are (by being in the correct patch groups)</v>
      </c>
      <c r="G11" s="1" t="str">
        <f>VLOOKUP($A11,Tasks!$A$2:$D$101,4,FALSE)</f>
        <v>System</v>
      </c>
    </row>
    <row r="12" spans="1:7" x14ac:dyDescent="0.25">
      <c r="A12" t="s">
        <v>66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Update the firmware on the client's access points</v>
      </c>
      <c r="G12" s="1" t="str">
        <f>VLOOKUP($A12,Tasks!$A$2:$D$101,4,FALSE)</f>
        <v>Network</v>
      </c>
    </row>
  </sheetData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0"/>
  <sheetViews>
    <sheetView workbookViewId="0">
      <selection activeCell="A14" sqref="A14:G14"/>
    </sheetView>
  </sheetViews>
  <sheetFormatPr defaultRowHeight="15" x14ac:dyDescent="0.25"/>
  <cols>
    <col min="1" max="1" width="54.28515625" bestFit="1" customWidth="1"/>
    <col min="2" max="2" width="12.1406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s="1" t="s">
        <v>121</v>
      </c>
      <c r="B2" s="1" t="s">
        <v>41</v>
      </c>
      <c r="C2" s="1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s="1" t="s">
        <v>42</v>
      </c>
      <c r="B3" s="1" t="s">
        <v>41</v>
      </c>
      <c r="C3" s="1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s="1" t="s">
        <v>43</v>
      </c>
      <c r="B4" s="1" t="s">
        <v>41</v>
      </c>
      <c r="C4" s="1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s="1" t="s">
        <v>109</v>
      </c>
      <c r="B5" s="1" t="s">
        <v>41</v>
      </c>
      <c r="C5" s="1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s="1" t="s">
        <v>55</v>
      </c>
      <c r="B6" s="1" t="s">
        <v>116</v>
      </c>
      <c r="C6" s="1">
        <v>0.25</v>
      </c>
      <c r="D6" s="1">
        <f>_xlfn.IFNA(VLOOKUP(B6,'Freq Lookup'!$A$1:$B$6,2,FALSE)*C6, 0)</f>
        <v>0.5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Take a backup of the hypervisor configuration and store the data in ITG, attach to the appropriate client device</v>
      </c>
      <c r="G6" s="1" t="str">
        <f>VLOOKUP($A6,Tasks!$A$2:$D$101,4,FALSE)</f>
        <v>System</v>
      </c>
    </row>
    <row r="7" spans="1:7" x14ac:dyDescent="0.25">
      <c r="A7" s="1" t="s">
        <v>57</v>
      </c>
      <c r="B7" s="1" t="s">
        <v>116</v>
      </c>
      <c r="C7" s="1">
        <v>0.25</v>
      </c>
      <c r="D7" s="1">
        <f>_xlfn.IFNA(VLOOKUP(B7,'Freq Lookup'!$A$1:$B$6,2,FALSE)*C7, 0)</f>
        <v>0.5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the iLO firmware on the cleint's servers</v>
      </c>
      <c r="G7" s="1" t="str">
        <f>VLOOKUP($A7,Tasks!$A$2:$D$101,4,FALSE)</f>
        <v>System</v>
      </c>
    </row>
    <row r="8" spans="1:7" x14ac:dyDescent="0.25">
      <c r="A8" s="1" t="s">
        <v>58</v>
      </c>
      <c r="B8" s="1" t="s">
        <v>116</v>
      </c>
      <c r="C8" s="1">
        <v>1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Install the latest ESXi patch for the currently installed version</v>
      </c>
      <c r="G8" s="1" t="str">
        <f>VLOOKUP($A8,Tasks!$A$2:$D$101,4,FALSE)</f>
        <v>System</v>
      </c>
    </row>
    <row r="9" spans="1:7" x14ac:dyDescent="0.25">
      <c r="A9" s="1" t="s">
        <v>46</v>
      </c>
      <c r="B9" s="1" t="s">
        <v>116</v>
      </c>
      <c r="C9" s="1">
        <v>0.5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Install the reccommended firewall firmware</v>
      </c>
      <c r="G9" s="1" t="str">
        <f>VLOOKUP($A9,Tasks!$A$2:$D$101,4,FALSE)</f>
        <v>Network</v>
      </c>
    </row>
    <row r="10" spans="1:7" x14ac:dyDescent="0.25">
      <c r="A10" s="1" t="s">
        <v>60</v>
      </c>
      <c r="B10" s="1" t="s">
        <v>116</v>
      </c>
      <c r="C10" s="1">
        <v>1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Update the firmware on the client's servers - For  HP servers check for a model specific BIOS update that may have been released after the latest ISO/</v>
      </c>
      <c r="G10" s="1" t="str">
        <f>VLOOKUP($A10,Tasks!$A$2:$D$101,4,FALSE)</f>
        <v>System</v>
      </c>
    </row>
    <row r="11" spans="1:7" x14ac:dyDescent="0.25">
      <c r="A11" s="1" t="s">
        <v>47</v>
      </c>
      <c r="B11" s="1" t="s">
        <v>48</v>
      </c>
      <c r="C11" s="1">
        <v>1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Update the firmware on the client's switches</v>
      </c>
      <c r="G11" s="1" t="str">
        <f>VLOOKUP($A11,Tasks!$A$2:$D$101,4,FALSE)</f>
        <v>Network</v>
      </c>
    </row>
    <row r="12" spans="1:7" x14ac:dyDescent="0.25">
      <c r="A12" t="s">
        <v>104</v>
      </c>
      <c r="B12" t="s">
        <v>51</v>
      </c>
      <c r="C12">
        <v>0.25</v>
      </c>
      <c r="D12" s="1">
        <f>_xlfn.IFNA(VLOOKUP(B12,'Freq Lookup'!$A$1:$B$6,2,FALSE)*C12, 0)</f>
        <v>13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Review the client's Azure backups for issues.</v>
      </c>
      <c r="G12" s="1" t="str">
        <f>VLOOKUP($A12,Tasks!$A$2:$D$101,4,FALSE)</f>
        <v>System</v>
      </c>
    </row>
    <row r="13" spans="1:7" x14ac:dyDescent="0.25">
      <c r="A13" t="s">
        <v>103</v>
      </c>
      <c r="B13" t="s">
        <v>41</v>
      </c>
      <c r="C13">
        <v>1</v>
      </c>
      <c r="D13" s="1">
        <f>_xlfn.IFNA(VLOOKUP(B13,'Freq Lookup'!$A$1:$B$6,2,FALSE)*C13, 0)</f>
        <v>12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Utilizing Auvik, review the client's network for issues. Ensure all infrastructure devices are SNMP \ login integrated. Ensure that all devices classified appropraitely.</v>
      </c>
      <c r="G13" s="1" t="str">
        <f>VLOOKUP($A13,Tasks!$A$2:$D$101,4,FALSE)</f>
        <v>Network</v>
      </c>
    </row>
    <row r="14" spans="1:7" x14ac:dyDescent="0.25">
      <c r="A14" s="1" t="s">
        <v>93</v>
      </c>
      <c r="B14" t="s">
        <v>45</v>
      </c>
      <c r="C14" s="1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Review the patch approval policies. Ensure all servers and workstations that are supposed to be automatically patched are (by being in the correct patch groups)</v>
      </c>
      <c r="G14" s="1" t="str">
        <f>VLOOKUP($A14,Tasks!$A$2:$D$101,4,FALSE)</f>
        <v>System</v>
      </c>
    </row>
    <row r="15" spans="1:7" x14ac:dyDescent="0.25">
      <c r="A15" t="s">
        <v>66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Update the firmware on the client's access points</v>
      </c>
      <c r="G15" s="1" t="str">
        <f>VLOOKUP($A15,Tasks!$A$2:$D$101,4,FALSE)</f>
        <v>Network</v>
      </c>
    </row>
    <row r="16" spans="1:7" x14ac:dyDescent="0.25">
      <c r="A16" s="1"/>
      <c r="B16" s="1"/>
      <c r="C16" s="1"/>
      <c r="D16" s="1"/>
      <c r="E16" s="1"/>
    </row>
    <row r="17" spans="1:5" x14ac:dyDescent="0.25">
      <c r="A17" s="1"/>
      <c r="B17" s="1"/>
      <c r="C17" s="1"/>
      <c r="D17" s="1"/>
      <c r="E17" s="1"/>
    </row>
    <row r="18" spans="1:5" x14ac:dyDescent="0.25">
      <c r="A18" s="1"/>
      <c r="B18" s="1"/>
      <c r="C18" s="1"/>
      <c r="D18" s="1"/>
      <c r="E18" s="1"/>
    </row>
    <row r="19" spans="1:5" x14ac:dyDescent="0.25">
      <c r="A19" s="1"/>
      <c r="B19" s="1"/>
      <c r="C19" s="1"/>
      <c r="D19" s="1"/>
      <c r="E19" s="1"/>
    </row>
    <row r="20" spans="1:5" x14ac:dyDescent="0.25">
      <c r="A20" s="1"/>
      <c r="B20" s="1"/>
      <c r="C20" s="1"/>
      <c r="D20" s="1"/>
      <c r="E20" s="1"/>
    </row>
    <row r="21" spans="1:5" x14ac:dyDescent="0.25">
      <c r="A21" s="1"/>
      <c r="B21" s="1"/>
      <c r="C21" s="1"/>
      <c r="D21" s="1"/>
      <c r="E21" s="1"/>
    </row>
    <row r="22" spans="1:5" x14ac:dyDescent="0.25">
      <c r="A22" s="1"/>
      <c r="B22" s="1"/>
      <c r="C22" s="1"/>
      <c r="D22" s="1"/>
      <c r="E22" s="1"/>
    </row>
    <row r="23" spans="1:5" x14ac:dyDescent="0.25">
      <c r="A23" s="1"/>
      <c r="B23" s="1"/>
      <c r="C23" s="1"/>
      <c r="D23" s="1"/>
      <c r="E23" s="1"/>
    </row>
    <row r="24" spans="1:5" x14ac:dyDescent="0.25">
      <c r="A24" s="1"/>
      <c r="B24" s="1"/>
      <c r="C24" s="1"/>
      <c r="D24" s="1"/>
      <c r="E24" s="1"/>
    </row>
    <row r="25" spans="1:5" x14ac:dyDescent="0.25">
      <c r="A25" s="1"/>
      <c r="B25" s="1"/>
      <c r="C25" s="1"/>
      <c r="D25" s="1"/>
      <c r="E25" s="1"/>
    </row>
    <row r="26" spans="1:5" x14ac:dyDescent="0.25">
      <c r="A26" s="1"/>
      <c r="B26" s="1"/>
      <c r="C26" s="1"/>
      <c r="D26" s="1"/>
      <c r="E26" s="1"/>
    </row>
    <row r="27" spans="1:5" x14ac:dyDescent="0.25">
      <c r="A27" s="1"/>
      <c r="B27" s="1"/>
      <c r="C27" s="1"/>
      <c r="D27" s="1"/>
      <c r="E27" s="1"/>
    </row>
    <row r="28" spans="1:5" x14ac:dyDescent="0.25">
      <c r="A28" s="1"/>
      <c r="B28" s="1"/>
      <c r="C28" s="1"/>
      <c r="D28" s="1"/>
      <c r="E28" s="1"/>
    </row>
    <row r="29" spans="1:5" x14ac:dyDescent="0.25">
      <c r="A29" s="1"/>
      <c r="B29" s="1"/>
      <c r="C29" s="1"/>
      <c r="D29" s="1"/>
      <c r="E29" s="1"/>
    </row>
    <row r="30" spans="1:5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B12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0"/>
  <sheetViews>
    <sheetView workbookViewId="0">
      <selection activeCell="A24" sqref="A24:G24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63</v>
      </c>
      <c r="B7" t="s">
        <v>45</v>
      </c>
      <c r="C7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Update vCenter to the latest patch for the currently installed version</v>
      </c>
      <c r="G7" s="1" t="str">
        <f>VLOOKUP($A7,Tasks!$A$2:$D$101,4,FALSE)</f>
        <v>System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Perform a file level restore utilizing the client's Veeam backups</v>
      </c>
      <c r="G9" s="1" t="str">
        <f>VLOOKUP($A9,Tasks!$A$2:$D$101,4,FALSE)</f>
        <v>System</v>
      </c>
    </row>
    <row r="10" spans="1:7" x14ac:dyDescent="0.25">
      <c r="A10" t="s">
        <v>57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iLO firmware on the cleint's servers</v>
      </c>
      <c r="G10" s="1" t="str">
        <f>VLOOKUP($A10,Tasks!$A$2:$D$101,4,FALSE)</f>
        <v>System</v>
      </c>
    </row>
    <row r="11" spans="1:7" x14ac:dyDescent="0.25">
      <c r="A11" t="s">
        <v>44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Update the firmware on the client's NAS device(s)</v>
      </c>
      <c r="G11" s="1" t="str">
        <f>VLOOKUP($A11,Tasks!$A$2:$D$101,4,FALSE)</f>
        <v>Storage</v>
      </c>
    </row>
    <row r="12" spans="1:7" x14ac:dyDescent="0.25">
      <c r="A12" t="s">
        <v>58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latest ESXi patch for the currently installed version</v>
      </c>
      <c r="G12" s="1" t="str">
        <f>VLOOKUP($A12,Tasks!$A$2:$D$101,4,FALSE)</f>
        <v>System</v>
      </c>
    </row>
    <row r="13" spans="1:7" x14ac:dyDescent="0.25">
      <c r="A13" t="s">
        <v>46</v>
      </c>
      <c r="B13" t="s">
        <v>45</v>
      </c>
      <c r="C13">
        <v>0.5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reccommended firewall firmware</v>
      </c>
      <c r="G13" s="1" t="str">
        <f>VLOOKUP($A13,Tasks!$A$2:$D$101,4,FALSE)</f>
        <v>Network</v>
      </c>
    </row>
    <row r="14" spans="1:7" x14ac:dyDescent="0.25">
      <c r="A14" t="s">
        <v>64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Install the latest SQL service pack</v>
      </c>
      <c r="G14" s="1" t="str">
        <f>VLOOKUP($A14,Tasks!$A$2:$D$101,4,FALSE)</f>
        <v>Application</v>
      </c>
    </row>
    <row r="15" spans="1:7" x14ac:dyDescent="0.25">
      <c r="A15" t="s">
        <v>102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Install the latest Exchange rollup</v>
      </c>
      <c r="G15" s="1" t="str">
        <f>VLOOKUP($A15,Tasks!$A$2:$D$101,4,FALSE)</f>
        <v>Application</v>
      </c>
    </row>
    <row r="16" spans="1:7" x14ac:dyDescent="0.25">
      <c r="A16" t="s">
        <v>59</v>
      </c>
      <c r="B16" t="s">
        <v>116</v>
      </c>
      <c r="C16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t="s">
        <v>60</v>
      </c>
      <c r="B17" t="s">
        <v>116</v>
      </c>
      <c r="C17">
        <v>1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4</v>
      </c>
      <c r="D18" s="1">
        <f>_xlfn.IFNA(VLOOKUP(B18,'Freq Lookup'!$A$1:$B$6,2,FALSE)*C18, 0)</f>
        <v>4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65</v>
      </c>
      <c r="B19" t="s">
        <v>48</v>
      </c>
      <c r="C19">
        <v>1</v>
      </c>
      <c r="D19" s="1">
        <f>_xlfn.IFNA(VLOOKUP(B19,'Freq Lookup'!$A$1:$B$6,2,FALSE)*C19, 0)</f>
        <v>1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Update the firmware on the web controller of the client's UPS(s)</v>
      </c>
      <c r="G19" s="1" t="str">
        <f>VLOOKUP($A19,Tasks!$A$2:$D$101,4,FALSE)</f>
        <v>System</v>
      </c>
    </row>
    <row r="20" spans="1:7" x14ac:dyDescent="0.25">
      <c r="A20" t="s">
        <v>49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Work with the account's vCIO or primary engineer to review the configuration of the client's Group policies. Ensure that the configuraiton is still optimal for the client's environment.</v>
      </c>
      <c r="G20" s="1" t="str">
        <f>VLOOKUP($A20,Tasks!$A$2:$D$101,4,FALSE)</f>
        <v>System</v>
      </c>
    </row>
    <row r="21" spans="1:7" x14ac:dyDescent="0.25">
      <c r="A21" t="s">
        <v>62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Install the latest version of Veeam Backup and Replication</v>
      </c>
      <c r="G21" s="1" t="str">
        <f>VLOOKUP($A21,Tasks!$A$2:$D$101,4,FALSE)</f>
        <v>System</v>
      </c>
    </row>
    <row r="22" spans="1:7" x14ac:dyDescent="0.25">
      <c r="A22" t="s">
        <v>83</v>
      </c>
      <c r="B22" t="s">
        <v>48</v>
      </c>
      <c r="C22">
        <v>1</v>
      </c>
      <c r="D22" s="1">
        <f>_xlfn.IFNA(VLOOKUP(B22,'Freq Lookup'!$A$1:$B$6,2,FALSE)*C22, 0)</f>
        <v>1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Perform an audit of the client's switch configuration for issues</v>
      </c>
      <c r="G22" s="1" t="str">
        <f>VLOOKUP($A22,Tasks!$A$2:$D$101,4,FALSE)</f>
        <v>Security</v>
      </c>
    </row>
    <row r="23" spans="1:7" x14ac:dyDescent="0.25">
      <c r="A23" t="s">
        <v>103</v>
      </c>
      <c r="B23" t="s">
        <v>41</v>
      </c>
      <c r="C23">
        <v>1</v>
      </c>
      <c r="D23" s="1">
        <f>_xlfn.IFNA(VLOOKUP(B23,'Freq Lookup'!$A$1:$B$6,2,FALSE)*C23, 0)</f>
        <v>12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Utilizing Auvik, review the client's network for issues. Ensure all infrastructure devices are SNMP \ login integrated. Ensure that all devices classified appropraitely.</v>
      </c>
      <c r="G23" s="1" t="str">
        <f>VLOOKUP($A23,Tasks!$A$2:$D$101,4,FALSE)</f>
        <v>Network</v>
      </c>
    </row>
    <row r="24" spans="1:7" x14ac:dyDescent="0.25">
      <c r="A24" s="1" t="s">
        <v>93</v>
      </c>
      <c r="B24" t="s">
        <v>45</v>
      </c>
      <c r="C24" s="1">
        <v>0.5</v>
      </c>
      <c r="D24" s="1">
        <f>_xlfn.IFNA(VLOOKUP(B24,'Freq Lookup'!$A$1:$B$6,2,FALSE)*C24, 0)</f>
        <v>2</v>
      </c>
      <c r="E24" s="1" t="str">
        <f ca="1">VLOOKUP(MID(CELL("filename",$A$1),FIND("]",CELL("filename",$A$1))+1,31),Clients!$A$2:$B$27,2,FALSE)</f>
        <v>JStraub</v>
      </c>
      <c r="F24" s="1" t="str">
        <f>VLOOKUP(A24,Tasks!$A$2:$D$101,3,FALSE)</f>
        <v>Review the patch approval policies. Ensure all servers and workstations that are supposed to be automatically patched are (by being in the correct patch groups)</v>
      </c>
      <c r="G24" s="1" t="str">
        <f>VLOOKUP($A24,Tasks!$A$2:$D$101,4,FALSE)</f>
        <v>System</v>
      </c>
    </row>
    <row r="25" spans="1:7" x14ac:dyDescent="0.25">
      <c r="A25" t="s">
        <v>66</v>
      </c>
      <c r="B25" t="s">
        <v>45</v>
      </c>
      <c r="C25">
        <v>1</v>
      </c>
      <c r="D25" s="1">
        <f>_xlfn.IFNA(VLOOKUP(B25,'Freq Lookup'!$A$1:$B$6,2,FALSE)*C25, 0)</f>
        <v>4</v>
      </c>
      <c r="E25" s="1" t="str">
        <f ca="1">VLOOKUP(MID(CELL("filename",$A$1),FIND("]",CELL("filename",$A$1))+1,31),Clients!$A$2:$B$27,2,FALSE)</f>
        <v>JStraub</v>
      </c>
      <c r="F25" s="1" t="str">
        <f>VLOOKUP(A25,Tasks!$A$2:$D$101,3,FALSE)</f>
        <v>Update the firmware on the client's access points</v>
      </c>
      <c r="G25" s="1" t="str">
        <f>VLOOKUP($A25,Tasks!$A$2:$D$101,4,FALSE)</f>
        <v>Network</v>
      </c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0"/>
  <sheetViews>
    <sheetView workbookViewId="0">
      <selection activeCell="A24" sqref="A24:G24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?????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?????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?????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?????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?????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63</v>
      </c>
      <c r="B7" t="s">
        <v>45</v>
      </c>
      <c r="C7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?????</v>
      </c>
      <c r="F7" s="1" t="str">
        <f>VLOOKUP(A7,Tasks!$A$2:$D$101,3,FALSE)</f>
        <v>Update vCenter to the latest patch for the currently installed version</v>
      </c>
      <c r="G7" s="1" t="str">
        <f>VLOOKUP($A7,Tasks!$A$2:$D$101,4,FALSE)</f>
        <v>System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?????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?????</v>
      </c>
      <c r="F9" s="1" t="str">
        <f>VLOOKUP(A9,Tasks!$A$2:$D$101,3,FALSE)</f>
        <v>Perform a file level restore utilizing the client's Veeam backups</v>
      </c>
      <c r="G9" s="1" t="str">
        <f>VLOOKUP($A9,Tasks!$A$2:$D$101,4,FALSE)</f>
        <v>System</v>
      </c>
    </row>
    <row r="10" spans="1:7" x14ac:dyDescent="0.25">
      <c r="A10" t="s">
        <v>57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?????</v>
      </c>
      <c r="F10" s="1" t="str">
        <f>VLOOKUP(A10,Tasks!$A$2:$D$101,3,FALSE)</f>
        <v>Update the iLO firmware on the cleint's servers</v>
      </c>
      <c r="G10" s="1" t="str">
        <f>VLOOKUP($A10,Tasks!$A$2:$D$101,4,FALSE)</f>
        <v>System</v>
      </c>
    </row>
    <row r="11" spans="1:7" x14ac:dyDescent="0.25">
      <c r="A11" t="s">
        <v>44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?????</v>
      </c>
      <c r="F11" s="1" t="str">
        <f>VLOOKUP(A11,Tasks!$A$2:$D$101,3,FALSE)</f>
        <v>Update the firmware on the client's NAS device(s)</v>
      </c>
      <c r="G11" s="1" t="str">
        <f>VLOOKUP($A11,Tasks!$A$2:$D$101,4,FALSE)</f>
        <v>Storage</v>
      </c>
    </row>
    <row r="12" spans="1:7" x14ac:dyDescent="0.25">
      <c r="A12" t="s">
        <v>58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?????</v>
      </c>
      <c r="F12" s="1" t="str">
        <f>VLOOKUP(A12,Tasks!$A$2:$D$101,3,FALSE)</f>
        <v>Install the latest ESXi patch for the currently installed version</v>
      </c>
      <c r="G12" s="1" t="str">
        <f>VLOOKUP($A12,Tasks!$A$2:$D$101,4,FALSE)</f>
        <v>System</v>
      </c>
    </row>
    <row r="13" spans="1:7" x14ac:dyDescent="0.25">
      <c r="A13" t="s">
        <v>46</v>
      </c>
      <c r="B13" t="s">
        <v>45</v>
      </c>
      <c r="C13">
        <v>0.5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?????</v>
      </c>
      <c r="F13" s="1" t="str">
        <f>VLOOKUP(A13,Tasks!$A$2:$D$101,3,FALSE)</f>
        <v>Install the reccommended firewall firmware</v>
      </c>
      <c r="G13" s="1" t="str">
        <f>VLOOKUP($A13,Tasks!$A$2:$D$101,4,FALSE)</f>
        <v>Network</v>
      </c>
    </row>
    <row r="14" spans="1:7" x14ac:dyDescent="0.25">
      <c r="A14" t="s">
        <v>64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?????</v>
      </c>
      <c r="F14" s="1" t="str">
        <f>VLOOKUP(A14,Tasks!$A$2:$D$101,3,FALSE)</f>
        <v>Install the latest SQL service pack</v>
      </c>
      <c r="G14" s="1" t="str">
        <f>VLOOKUP($A14,Tasks!$A$2:$D$101,4,FALSE)</f>
        <v>Application</v>
      </c>
    </row>
    <row r="15" spans="1:7" x14ac:dyDescent="0.25">
      <c r="A15" t="s">
        <v>102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?????</v>
      </c>
      <c r="F15" s="1" t="str">
        <f>VLOOKUP(A15,Tasks!$A$2:$D$101,3,FALSE)</f>
        <v>Install the latest Exchange rollup</v>
      </c>
      <c r="G15" s="1" t="str">
        <f>VLOOKUP($A15,Tasks!$A$2:$D$101,4,FALSE)</f>
        <v>Application</v>
      </c>
    </row>
    <row r="16" spans="1:7" x14ac:dyDescent="0.25">
      <c r="A16" t="s">
        <v>59</v>
      </c>
      <c r="B16" t="s">
        <v>116</v>
      </c>
      <c r="C16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?????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t="s">
        <v>60</v>
      </c>
      <c r="B17" t="s">
        <v>116</v>
      </c>
      <c r="C17">
        <v>1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?????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4</v>
      </c>
      <c r="D18" s="1">
        <f>_xlfn.IFNA(VLOOKUP(B18,'Freq Lookup'!$A$1:$B$6,2,FALSE)*C18, 0)</f>
        <v>4</v>
      </c>
      <c r="E18" s="1" t="str">
        <f ca="1">VLOOKUP(MID(CELL("filename",$A$1),FIND("]",CELL("filename",$A$1))+1,31),Clients!$A$2:$B$27,2,FALSE)</f>
        <v>?????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65</v>
      </c>
      <c r="B19" t="s">
        <v>48</v>
      </c>
      <c r="C19">
        <v>1</v>
      </c>
      <c r="D19" s="1">
        <f>_xlfn.IFNA(VLOOKUP(B19,'Freq Lookup'!$A$1:$B$6,2,FALSE)*C19, 0)</f>
        <v>1</v>
      </c>
      <c r="E19" s="1" t="str">
        <f ca="1">VLOOKUP(MID(CELL("filename",$A$1),FIND("]",CELL("filename",$A$1))+1,31),Clients!$A$2:$B$27,2,FALSE)</f>
        <v>?????</v>
      </c>
      <c r="F19" s="1" t="str">
        <f>VLOOKUP(A19,Tasks!$A$2:$D$101,3,FALSE)</f>
        <v>Update the firmware on the web controller of the client's UPS(s)</v>
      </c>
      <c r="G19" s="1" t="str">
        <f>VLOOKUP($A19,Tasks!$A$2:$D$101,4,FALSE)</f>
        <v>System</v>
      </c>
    </row>
    <row r="20" spans="1:7" x14ac:dyDescent="0.25">
      <c r="A20" t="s">
        <v>49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?????</v>
      </c>
      <c r="F20" s="1" t="str">
        <f>VLOOKUP(A20,Tasks!$A$2:$D$101,3,FALSE)</f>
        <v>Work with the account's vCIO or primary engineer to review the configuration of the client's Group policies. Ensure that the configuraiton is still optimal for the client's environment.</v>
      </c>
      <c r="G20" s="1" t="str">
        <f>VLOOKUP($A20,Tasks!$A$2:$D$101,4,FALSE)</f>
        <v>System</v>
      </c>
    </row>
    <row r="21" spans="1:7" x14ac:dyDescent="0.25">
      <c r="A21" t="s">
        <v>62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?????</v>
      </c>
      <c r="F21" s="1" t="str">
        <f>VLOOKUP(A21,Tasks!$A$2:$D$101,3,FALSE)</f>
        <v>Install the latest version of Veeam Backup and Replication</v>
      </c>
      <c r="G21" s="1" t="str">
        <f>VLOOKUP($A21,Tasks!$A$2:$D$101,4,FALSE)</f>
        <v>System</v>
      </c>
    </row>
    <row r="22" spans="1:7" x14ac:dyDescent="0.25">
      <c r="A22" t="s">
        <v>83</v>
      </c>
      <c r="B22" t="s">
        <v>48</v>
      </c>
      <c r="C22">
        <v>1</v>
      </c>
      <c r="D22" s="1">
        <f>_xlfn.IFNA(VLOOKUP(B22,'Freq Lookup'!$A$1:$B$6,2,FALSE)*C22, 0)</f>
        <v>1</v>
      </c>
      <c r="E22" s="1" t="str">
        <f ca="1">VLOOKUP(MID(CELL("filename",$A$1),FIND("]",CELL("filename",$A$1))+1,31),Clients!$A$2:$B$27,2,FALSE)</f>
        <v>?????</v>
      </c>
      <c r="F22" s="1" t="str">
        <f>VLOOKUP(A22,Tasks!$A$2:$D$101,3,FALSE)</f>
        <v>Perform an audit of the client's switch configuration for issues</v>
      </c>
      <c r="G22" s="1" t="str">
        <f>VLOOKUP($A22,Tasks!$A$2:$D$101,4,FALSE)</f>
        <v>Security</v>
      </c>
    </row>
    <row r="23" spans="1:7" x14ac:dyDescent="0.25">
      <c r="A23" t="s">
        <v>103</v>
      </c>
      <c r="B23" t="s">
        <v>41</v>
      </c>
      <c r="C23">
        <v>1</v>
      </c>
      <c r="D23" s="1">
        <f>_xlfn.IFNA(VLOOKUP(B23,'Freq Lookup'!$A$1:$B$6,2,FALSE)*C23, 0)</f>
        <v>12</v>
      </c>
      <c r="E23" s="1" t="str">
        <f ca="1">VLOOKUP(MID(CELL("filename",$A$1),FIND("]",CELL("filename",$A$1))+1,31),Clients!$A$2:$B$27,2,FALSE)</f>
        <v>?????</v>
      </c>
      <c r="F23" s="1" t="str">
        <f>VLOOKUP(A23,Tasks!$A$2:$D$101,3,FALSE)</f>
        <v>Utilizing Auvik, review the client's network for issues. Ensure all infrastructure devices are SNMP \ login integrated. Ensure that all devices classified appropraitely.</v>
      </c>
      <c r="G23" s="1" t="str">
        <f>VLOOKUP($A23,Tasks!$A$2:$D$101,4,FALSE)</f>
        <v>Network</v>
      </c>
    </row>
    <row r="24" spans="1:7" x14ac:dyDescent="0.25">
      <c r="A24" s="1" t="s">
        <v>93</v>
      </c>
      <c r="B24" t="s">
        <v>45</v>
      </c>
      <c r="C24" s="1">
        <v>0.5</v>
      </c>
      <c r="D24" s="1">
        <f>_xlfn.IFNA(VLOOKUP(B24,'Freq Lookup'!$A$1:$B$6,2,FALSE)*C24, 0)</f>
        <v>2</v>
      </c>
      <c r="E24" s="1" t="str">
        <f ca="1">VLOOKUP(MID(CELL("filename",$A$1),FIND("]",CELL("filename",$A$1))+1,31),Clients!$A$2:$B$27,2,FALSE)</f>
        <v>?????</v>
      </c>
      <c r="F24" s="1" t="str">
        <f>VLOOKUP(A24,Tasks!$A$2:$D$101,3,FALSE)</f>
        <v>Review the patch approval policies. Ensure all servers and workstations that are supposed to be automatically patched are (by being in the correct patch groups)</v>
      </c>
      <c r="G24" s="1" t="str">
        <f>VLOOKUP($A24,Tasks!$A$2:$D$101,4,FALSE)</f>
        <v>System</v>
      </c>
    </row>
    <row r="25" spans="1:7" x14ac:dyDescent="0.25">
      <c r="A25" t="s">
        <v>66</v>
      </c>
      <c r="B25" t="s">
        <v>45</v>
      </c>
      <c r="C25">
        <v>1</v>
      </c>
      <c r="D25" s="1">
        <f>_xlfn.IFNA(VLOOKUP(B25,'Freq Lookup'!$A$1:$B$6,2,FALSE)*C25, 0)</f>
        <v>4</v>
      </c>
      <c r="E25" s="1" t="str">
        <f ca="1">VLOOKUP(MID(CELL("filename",$A$1),FIND("]",CELL("filename",$A$1))+1,31),Clients!$A$2:$B$27,2,FALSE)</f>
        <v>?????</v>
      </c>
      <c r="F25" s="1" t="str">
        <f>VLOOKUP(A25,Tasks!$A$2:$D$101,3,FALSE)</f>
        <v>Update the firmware on the client's access points</v>
      </c>
      <c r="G25" s="1" t="str">
        <f>VLOOKUP($A25,Tasks!$A$2:$D$101,4,FALSE)</f>
        <v>Network</v>
      </c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0"/>
  <sheetViews>
    <sheetView workbookViewId="0">
      <selection activeCell="G1" sqref="G1"/>
    </sheetView>
  </sheetViews>
  <sheetFormatPr defaultRowHeight="15" x14ac:dyDescent="0.25"/>
  <cols>
    <col min="1" max="1" width="54.28515625" bestFit="1" customWidth="1"/>
    <col min="2" max="2" width="12.425781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MGarcia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MGarcia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MGarcia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MGarcia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68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MGarcia</v>
      </c>
      <c r="F6" s="1" t="str">
        <f>VLOOKUP(A6,Tasks!$A$2:$D$101,3,FALSE)</f>
        <v>Review the Azure portal for issues.</v>
      </c>
      <c r="G6" s="1" t="str">
        <f>VLOOKUP($A6,Tasks!$A$2:$D$101,4,FALSE)</f>
        <v>Cloud</v>
      </c>
    </row>
    <row r="7" spans="1:7" x14ac:dyDescent="0.25">
      <c r="A7" t="s">
        <v>109</v>
      </c>
      <c r="B7" t="s">
        <v>41</v>
      </c>
      <c r="C7">
        <v>0.5</v>
      </c>
      <c r="D7" s="1">
        <f>_xlfn.IFNA(VLOOKUP(B7,'Freq Lookup'!$A$1:$B$6,2,FALSE)*C7, 0)</f>
        <v>6</v>
      </c>
      <c r="E7" s="1" t="str">
        <f ca="1">VLOOKUP(MID(CELL("filename",$A$1),FIND("]",CELL("filename",$A$1))+1,31),Clients!$A$2:$B$27,2,FALSE)</f>
        <v>MGarcia</v>
      </c>
      <c r="F7" s="1" t="str">
        <f>VLOOKUP(A7,Tasks!$A$2:$D$101,3,FALSE)</f>
        <v>Review the client's windows server application and security logs for standout issues</v>
      </c>
      <c r="G7" s="1" t="str">
        <f>VLOOKUP($A7,Tasks!$A$2:$D$101,4,FALSE)</f>
        <v>System</v>
      </c>
    </row>
    <row r="8" spans="1:7" x14ac:dyDescent="0.25">
      <c r="A8" t="s">
        <v>63</v>
      </c>
      <c r="B8" t="s">
        <v>45</v>
      </c>
      <c r="C8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MGarcia</v>
      </c>
      <c r="F8" s="1" t="str">
        <f>VLOOKUP(A8,Tasks!$A$2:$D$101,3,FALSE)</f>
        <v>Update vCenter to the latest patch for the currently installed version</v>
      </c>
      <c r="G8" s="1" t="str">
        <f>VLOOKUP($A8,Tasks!$A$2:$D$101,4,FALSE)</f>
        <v>System</v>
      </c>
    </row>
    <row r="9" spans="1:7" x14ac:dyDescent="0.25">
      <c r="A9" t="s">
        <v>55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MGarcia</v>
      </c>
      <c r="F9" s="1" t="str">
        <f>VLOOKUP(A9,Tasks!$A$2:$D$101,3,FALSE)</f>
        <v>Take a backup of the hypervisor configuration and store the data in ITG, attach to the appropriate client device</v>
      </c>
      <c r="G9" s="1" t="str">
        <f>VLOOKUP($A9,Tasks!$A$2:$D$101,4,FALSE)</f>
        <v>System</v>
      </c>
    </row>
    <row r="10" spans="1:7" x14ac:dyDescent="0.25">
      <c r="A10" t="s">
        <v>56</v>
      </c>
      <c r="B10" t="s">
        <v>45</v>
      </c>
      <c r="C10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MGarcia</v>
      </c>
      <c r="F10" s="1" t="str">
        <f>VLOOKUP(A10,Tasks!$A$2:$D$101,3,FALSE)</f>
        <v>Perform a file level restore utilizing the client's Veeam backups</v>
      </c>
      <c r="G10" s="1" t="str">
        <f>VLOOKUP($A10,Tasks!$A$2:$D$101,4,FALSE)</f>
        <v>System</v>
      </c>
    </row>
    <row r="11" spans="1:7" x14ac:dyDescent="0.25">
      <c r="A11" t="s">
        <v>57</v>
      </c>
      <c r="B11" t="s">
        <v>45</v>
      </c>
      <c r="C11">
        <v>0.5</v>
      </c>
      <c r="D11" s="1">
        <f>_xlfn.IFNA(VLOOKUP(B11,'Freq Lookup'!$A$1:$B$6,2,FALSE)*C11, 0)</f>
        <v>2</v>
      </c>
      <c r="E11" s="1" t="str">
        <f ca="1">VLOOKUP(MID(CELL("filename",$A$1),FIND("]",CELL("filename",$A$1))+1,31),Clients!$A$2:$B$27,2,FALSE)</f>
        <v>MGarcia</v>
      </c>
      <c r="F11" s="1" t="str">
        <f>VLOOKUP(A11,Tasks!$A$2:$D$101,3,FALSE)</f>
        <v>Update the iLO firmware on the cleint's servers</v>
      </c>
      <c r="G11" s="1" t="str">
        <f>VLOOKUP($A11,Tasks!$A$2:$D$101,4,FALSE)</f>
        <v>System</v>
      </c>
    </row>
    <row r="12" spans="1:7" x14ac:dyDescent="0.25">
      <c r="A12" t="s">
        <v>44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MGarcia</v>
      </c>
      <c r="F12" s="1" t="str">
        <f>VLOOKUP(A12,Tasks!$A$2:$D$101,3,FALSE)</f>
        <v>Update the firmware on the client's NAS device(s)</v>
      </c>
      <c r="G12" s="1" t="str">
        <f>VLOOKUP($A12,Tasks!$A$2:$D$101,4,FALSE)</f>
        <v>Storage</v>
      </c>
    </row>
    <row r="13" spans="1:7" x14ac:dyDescent="0.25">
      <c r="A13" t="s">
        <v>58</v>
      </c>
      <c r="B13" t="s">
        <v>45</v>
      </c>
      <c r="C13">
        <v>4</v>
      </c>
      <c r="D13" s="1">
        <f>_xlfn.IFNA(VLOOKUP(B13,'Freq Lookup'!$A$1:$B$6,2,FALSE)*C13, 0)</f>
        <v>16</v>
      </c>
      <c r="E13" s="1" t="str">
        <f ca="1">VLOOKUP(MID(CELL("filename",$A$1),FIND("]",CELL("filename",$A$1))+1,31),Clients!$A$2:$B$27,2,FALSE)</f>
        <v>MGarcia</v>
      </c>
      <c r="F13" s="1" t="str">
        <f>VLOOKUP(A13,Tasks!$A$2:$D$101,3,FALSE)</f>
        <v>Install the latest ESXi patch for the currently installed version</v>
      </c>
      <c r="G13" s="1" t="str">
        <f>VLOOKUP($A13,Tasks!$A$2:$D$101,4,FALSE)</f>
        <v>System</v>
      </c>
    </row>
    <row r="14" spans="1:7" x14ac:dyDescent="0.25">
      <c r="A14" t="s">
        <v>46</v>
      </c>
      <c r="B14" t="s">
        <v>45</v>
      </c>
      <c r="C14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MGarcia</v>
      </c>
      <c r="F14" s="1" t="str">
        <f>VLOOKUP(A14,Tasks!$A$2:$D$101,3,FALSE)</f>
        <v>Install the reccommended firewall firmware</v>
      </c>
      <c r="G14" s="1" t="str">
        <f>VLOOKUP($A14,Tasks!$A$2:$D$101,4,FALSE)</f>
        <v>Network</v>
      </c>
    </row>
    <row r="15" spans="1:7" x14ac:dyDescent="0.25">
      <c r="A15" t="s">
        <v>64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MGarcia</v>
      </c>
      <c r="F15" s="1" t="str">
        <f>VLOOKUP(A15,Tasks!$A$2:$D$101,3,FALSE)</f>
        <v>Install the latest SQL service pack</v>
      </c>
      <c r="G15" s="1" t="str">
        <f>VLOOKUP($A15,Tasks!$A$2:$D$101,4,FALSE)</f>
        <v>Application</v>
      </c>
    </row>
    <row r="16" spans="1:7" x14ac:dyDescent="0.25">
      <c r="A16" t="s">
        <v>59</v>
      </c>
      <c r="B16" t="s">
        <v>116</v>
      </c>
      <c r="C16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MGarcia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t="s">
        <v>60</v>
      </c>
      <c r="B17" t="s">
        <v>116</v>
      </c>
      <c r="C17">
        <v>4</v>
      </c>
      <c r="D17" s="1">
        <f>_xlfn.IFNA(VLOOKUP(B17,'Freq Lookup'!$A$1:$B$6,2,FALSE)*C17, 0)</f>
        <v>8</v>
      </c>
      <c r="E17" s="1" t="str">
        <f ca="1">VLOOKUP(MID(CELL("filename",$A$1),FIND("]",CELL("filename",$A$1))+1,31),Clients!$A$2:$B$27,2,FALSE)</f>
        <v>MGarcia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8</v>
      </c>
      <c r="D18" s="1">
        <f>_xlfn.IFNA(VLOOKUP(B18,'Freq Lookup'!$A$1:$B$6,2,FALSE)*C18, 0)</f>
        <v>8</v>
      </c>
      <c r="E18" s="1" t="str">
        <f ca="1">VLOOKUP(MID(CELL("filename",$A$1),FIND("]",CELL("filename",$A$1))+1,31),Clients!$A$2:$B$27,2,FALSE)</f>
        <v>MGarcia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65</v>
      </c>
      <c r="B19" t="s">
        <v>48</v>
      </c>
      <c r="C19">
        <v>4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MGarcia</v>
      </c>
      <c r="F19" s="1" t="str">
        <f>VLOOKUP(A19,Tasks!$A$2:$D$101,3,FALSE)</f>
        <v>Update the firmware on the web controller of the client's UPS(s)</v>
      </c>
      <c r="G19" s="1" t="str">
        <f>VLOOKUP($A19,Tasks!$A$2:$D$101,4,FALSE)</f>
        <v>System</v>
      </c>
    </row>
    <row r="20" spans="1:7" x14ac:dyDescent="0.25">
      <c r="A20" t="s">
        <v>49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MGarcia</v>
      </c>
      <c r="F20" s="1" t="str">
        <f>VLOOKUP(A20,Tasks!$A$2:$D$101,3,FALSE)</f>
        <v>Work with the account's vCIO or primary engineer to review the configuration of the client's Group policies. Ensure that the configuraiton is still optimal for the client's environment.</v>
      </c>
      <c r="G20" s="1" t="str">
        <f>VLOOKUP($A20,Tasks!$A$2:$D$101,4,FALSE)</f>
        <v>System</v>
      </c>
    </row>
    <row r="21" spans="1:7" x14ac:dyDescent="0.25">
      <c r="A21" t="s">
        <v>62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MGarcia</v>
      </c>
      <c r="F21" s="1" t="str">
        <f>VLOOKUP(A21,Tasks!$A$2:$D$101,3,FALSE)</f>
        <v>Install the latest version of Veeam Backup and Replication</v>
      </c>
      <c r="G21" s="1" t="str">
        <f>VLOOKUP($A21,Tasks!$A$2:$D$101,4,FALSE)</f>
        <v>System</v>
      </c>
    </row>
    <row r="22" spans="1:7" x14ac:dyDescent="0.25">
      <c r="A22" s="1" t="s">
        <v>76</v>
      </c>
      <c r="B22" t="s">
        <v>116</v>
      </c>
      <c r="C22" s="1">
        <v>4</v>
      </c>
      <c r="D22" s="1">
        <f>_xlfn.IFNA(VLOOKUP(B22,'Freq Lookup'!$A$1:$B$6,2,FALSE)*C22, 0)</f>
        <v>8</v>
      </c>
      <c r="E22" s="1" t="s">
        <v>77</v>
      </c>
      <c r="F22" s="1" t="str">
        <f>VLOOKUP(A22,Tasks!$A$2:$D$101,3,FALSE)</f>
        <v>Updatre the ASA's FMC and Firepower modules to a version that is compatible with the installed ASA software</v>
      </c>
      <c r="G22" s="1" t="str">
        <f>VLOOKUP($A22,Tasks!$A$2:$D$101,4,FALSE)</f>
        <v>Network</v>
      </c>
    </row>
    <row r="23" spans="1:7" x14ac:dyDescent="0.25">
      <c r="A23" t="s">
        <v>83</v>
      </c>
      <c r="B23" t="s">
        <v>48</v>
      </c>
      <c r="C23">
        <v>2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MGarcia</v>
      </c>
      <c r="F23" s="1" t="str">
        <f>VLOOKUP(A23,Tasks!$A$2:$D$101,3,FALSE)</f>
        <v>Perform an audit of the client's switch configuration for issues</v>
      </c>
      <c r="G23" s="1" t="str">
        <f>VLOOKUP($A23,Tasks!$A$2:$D$101,4,FALSE)</f>
        <v>Security</v>
      </c>
    </row>
    <row r="24" spans="1:7" x14ac:dyDescent="0.25">
      <c r="A24" t="s">
        <v>103</v>
      </c>
      <c r="B24" t="s">
        <v>41</v>
      </c>
      <c r="C24">
        <v>1</v>
      </c>
      <c r="D24" s="1">
        <f>_xlfn.IFNA(VLOOKUP(B24,'Freq Lookup'!$A$1:$B$6,2,FALSE)*C24, 0)</f>
        <v>12</v>
      </c>
      <c r="E24" s="1" t="str">
        <f ca="1">VLOOKUP(MID(CELL("filename",$A$1),FIND("]",CELL("filename",$A$1))+1,31),Clients!$A$2:$B$27,2,FALSE)</f>
        <v>MGarcia</v>
      </c>
      <c r="F24" s="1" t="str">
        <f>VLOOKUP(A24,Tasks!$A$2:$D$101,3,FALSE)</f>
        <v>Utilizing Auvik, review the client's network for issues. Ensure all infrastructure devices are SNMP \ login integrated. Ensure that all devices classified appropraitely.</v>
      </c>
      <c r="G24" s="1" t="str">
        <f>VLOOKUP($A24,Tasks!$A$2:$D$101,4,FALSE)</f>
        <v>Network</v>
      </c>
    </row>
    <row r="25" spans="1:7" x14ac:dyDescent="0.25">
      <c r="A25" s="1" t="s">
        <v>93</v>
      </c>
      <c r="B25" t="s">
        <v>45</v>
      </c>
      <c r="C25" s="1">
        <v>0.5</v>
      </c>
      <c r="D25" s="1">
        <f>_xlfn.IFNA(VLOOKUP(B25,'Freq Lookup'!$A$1:$B$6,2,FALSE)*C25, 0)</f>
        <v>2</v>
      </c>
      <c r="E25" s="1" t="str">
        <f ca="1">VLOOKUP(MID(CELL("filename",$A$1),FIND("]",CELL("filename",$A$1))+1,31),Clients!$A$2:$B$27,2,FALSE)</f>
        <v>MGarcia</v>
      </c>
      <c r="F25" s="1" t="str">
        <f>VLOOKUP(A25,Tasks!$A$2:$D$101,3,FALSE)</f>
        <v>Review the patch approval policies. Ensure all servers and workstations that are supposed to be automatically patched are (by being in the correct patch groups)</v>
      </c>
      <c r="G25" s="1" t="str">
        <f>VLOOKUP($A25,Tasks!$A$2:$D$101,4,FALSE)</f>
        <v>System</v>
      </c>
    </row>
    <row r="26" spans="1:7" x14ac:dyDescent="0.25">
      <c r="A26" t="s">
        <v>66</v>
      </c>
      <c r="B26" t="s">
        <v>45</v>
      </c>
      <c r="C26">
        <v>1</v>
      </c>
      <c r="D26" s="1">
        <f>_xlfn.IFNA(VLOOKUP(B26,'Freq Lookup'!$A$1:$B$6,2,FALSE)*C26, 0)</f>
        <v>4</v>
      </c>
      <c r="E26" s="1" t="str">
        <f ca="1">VLOOKUP(MID(CELL("filename",$A$1),FIND("]",CELL("filename",$A$1))+1,31),Clients!$A$2:$B$27,2,FALSE)</f>
        <v>MGarcia</v>
      </c>
      <c r="F26" s="1" t="str">
        <f>VLOOKUP(A26,Tasks!$A$2:$D$101,3,FALSE)</f>
        <v>Update the firmware on the client's access points</v>
      </c>
      <c r="G26" s="1" t="str">
        <f>VLOOKUP($A26,Tasks!$A$2:$D$101,4,FALSE)</f>
        <v>Network</v>
      </c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'N:\Engineering\ITSP BPSA ESM\BPA - Best Practice Administration\BPA 5.0\Budget Calculator\[BC BPA Proposal 09202019 DRAFT 1.xlsx]Frequnecy vlookup'!#REF!</xm:f>
          </x14:formula1>
          <xm:sqref>B2:B20</xm:sqref>
        </x14:dataValidation>
        <x14:dataValidation type="list" allowBlank="1" showInputMessage="1" showErrorMessage="1">
          <x14:formula1>
            <xm:f>'N:\Engineering\ITSP BPSA ESM\BPA - Best Practice Administration\BPA 5.0\Budget Calculator\[USF BPA Proposal 08302019 DRAFT 1.xlsx]Frequnecy vlookup'!#REF!</xm:f>
          </x14:formula1>
          <xm:sqref>B22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30"/>
  <sheetViews>
    <sheetView topLeftCell="A4" workbookViewId="0">
      <selection activeCell="H37" sqref="H37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109</v>
      </c>
      <c r="B4" t="s">
        <v>41</v>
      </c>
      <c r="C4">
        <v>0.5</v>
      </c>
      <c r="D4" s="1">
        <f>_xlfn.IFNA(VLOOKUP(B4,'Freq Lookup'!$A$1:$B$6,2,FALSE)*C4, 0)</f>
        <v>6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client's windows server application and security logs for standout issues</v>
      </c>
      <c r="G4" s="1" t="str">
        <f>VLOOKUP($A4,Tasks!$A$2:$D$101,4,FALSE)</f>
        <v>System</v>
      </c>
    </row>
    <row r="5" spans="1:7" x14ac:dyDescent="0.25">
      <c r="D5" s="1"/>
    </row>
    <row r="6" spans="1:7" x14ac:dyDescent="0.25">
      <c r="D6" s="1"/>
    </row>
    <row r="7" spans="1:7" x14ac:dyDescent="0.25">
      <c r="D7" s="1"/>
    </row>
    <row r="8" spans="1:7" x14ac:dyDescent="0.25">
      <c r="D8" s="1"/>
    </row>
    <row r="9" spans="1:7" x14ac:dyDescent="0.25">
      <c r="D9" s="1"/>
    </row>
    <row r="10" spans="1:7" x14ac:dyDescent="0.25">
      <c r="D10" s="1"/>
    </row>
    <row r="11" spans="1:7" x14ac:dyDescent="0.25">
      <c r="D11" s="1"/>
    </row>
    <row r="12" spans="1:7" x14ac:dyDescent="0.25">
      <c r="D12" s="1"/>
    </row>
    <row r="13" spans="1:7" x14ac:dyDescent="0.25">
      <c r="A13" s="1"/>
      <c r="B13" s="1"/>
      <c r="C13" s="1"/>
      <c r="D13" s="1"/>
    </row>
    <row r="14" spans="1:7" x14ac:dyDescent="0.25">
      <c r="A14" s="1"/>
      <c r="B14" s="1"/>
      <c r="C14" s="1"/>
      <c r="D14" s="1"/>
    </row>
    <row r="15" spans="1:7" x14ac:dyDescent="0.25">
      <c r="A15" s="1"/>
      <c r="B15" s="1"/>
      <c r="C15" s="1"/>
      <c r="D15" s="1"/>
    </row>
    <row r="16" spans="1:7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Calculator\[BTS BPA Proposal 08302019 DRAFT 1.xlsx]Frequnecy vlookup'!#REF!</xm:f>
          </x14:formula1>
          <xm:sqref>B2:B12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30"/>
  <sheetViews>
    <sheetView workbookViewId="0">
      <selection activeCell="A18" sqref="A18:G18"/>
    </sheetView>
  </sheetViews>
  <sheetFormatPr defaultRowHeight="15" x14ac:dyDescent="0.25"/>
  <cols>
    <col min="1" max="1" width="54.28515625" bestFit="1" customWidth="1"/>
    <col min="3" max="3" width="7.285156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49</v>
      </c>
      <c r="B2" t="s">
        <v>48</v>
      </c>
      <c r="C2">
        <v>1</v>
      </c>
      <c r="D2" s="1">
        <f>_xlfn.IFNA(VLOOKUP(B2,'Freq Lookup'!$A$1:$B$6,2,FALSE)*C2, 0)</f>
        <v>1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Work with the account's vCIO or primary engineer to review the configuration of the client's Group policies. Ensure that the configuraiton is still optimal for the client's environment.</v>
      </c>
      <c r="G2" s="1" t="str">
        <f>VLOOKUP($A2,Tasks!$A$2:$D$101,4,FALSE)</f>
        <v>System</v>
      </c>
    </row>
    <row r="3" spans="1:7" x14ac:dyDescent="0.25">
      <c r="A3" t="s">
        <v>65</v>
      </c>
      <c r="B3" t="s">
        <v>48</v>
      </c>
      <c r="C3">
        <v>2</v>
      </c>
      <c r="D3" s="1">
        <f>_xlfn.IFNA(VLOOKUP(B3,'Freq Lookup'!$A$1:$B$6,2,FALSE)*C3, 0)</f>
        <v>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Update the firmware on the web controller of the client's UPS(s)</v>
      </c>
      <c r="G3" s="1" t="str">
        <f>VLOOKUP($A3,Tasks!$A$2:$D$101,4,FALSE)</f>
        <v>System</v>
      </c>
    </row>
    <row r="4" spans="1:7" x14ac:dyDescent="0.25">
      <c r="A4" t="s">
        <v>47</v>
      </c>
      <c r="B4" t="s">
        <v>48</v>
      </c>
      <c r="C4">
        <v>4</v>
      </c>
      <c r="D4" s="1">
        <f>_xlfn.IFNA(VLOOKUP(B4,'Freq Lookup'!$A$1:$B$6,2,FALSE)*C4, 0)</f>
        <v>4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Update the firmware on the client's switches</v>
      </c>
      <c r="G4" s="1" t="str">
        <f>VLOOKUP($A4,Tasks!$A$2:$D$101,4,FALSE)</f>
        <v>Network</v>
      </c>
    </row>
    <row r="5" spans="1:7" x14ac:dyDescent="0.25">
      <c r="A5" t="s">
        <v>60</v>
      </c>
      <c r="B5" t="s">
        <v>116</v>
      </c>
      <c r="C5">
        <v>2</v>
      </c>
      <c r="D5" s="1">
        <f>_xlfn.IFNA(VLOOKUP(B5,'Freq Lookup'!$A$1:$B$6,2,FALSE)*C5, 0)</f>
        <v>4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Update the firmware on the client's servers - For  HP servers check for a model specific BIOS update that may have been released after the latest ISO/</v>
      </c>
      <c r="G5" s="1" t="str">
        <f>VLOOKUP($A5,Tasks!$A$2:$D$101,4,FALSE)</f>
        <v>System</v>
      </c>
    </row>
    <row r="6" spans="1:7" x14ac:dyDescent="0.25">
      <c r="A6" t="s">
        <v>46</v>
      </c>
      <c r="B6" t="s">
        <v>45</v>
      </c>
      <c r="C6">
        <v>2</v>
      </c>
      <c r="D6" s="1">
        <f>_xlfn.IFNA(VLOOKUP(B6,'Freq Lookup'!$A$1:$B$6,2,FALSE)*C6, 0)</f>
        <v>8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Install the reccommended firewall firmware</v>
      </c>
      <c r="G6" s="1" t="str">
        <f>VLOOKUP($A6,Tasks!$A$2:$D$101,4,FALSE)</f>
        <v>Network</v>
      </c>
    </row>
    <row r="7" spans="1:7" x14ac:dyDescent="0.25">
      <c r="A7" t="s">
        <v>57</v>
      </c>
      <c r="B7" t="s">
        <v>45</v>
      </c>
      <c r="C7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the iLO firmware on the cleint's servers</v>
      </c>
      <c r="G7" s="1" t="str">
        <f>VLOOKUP($A7,Tasks!$A$2:$D$101,4,FALSE)</f>
        <v>System</v>
      </c>
    </row>
    <row r="8" spans="1:7" x14ac:dyDescent="0.25">
      <c r="A8" t="s">
        <v>85</v>
      </c>
      <c r="B8" t="s">
        <v>45</v>
      </c>
      <c r="C8">
        <v>4</v>
      </c>
      <c r="D8" s="1">
        <f>_xlfn.IFNA(VLOOKUP(B8,'Freq Lookup'!$A$1:$B$6,2,FALSE)*C8, 0)</f>
        <v>16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Update the firmware on the client's non-meraki devices</v>
      </c>
      <c r="G8" s="1" t="str">
        <f>VLOOKUP($A8,Tasks!$A$2:$D$101,4,FALSE)</f>
        <v>Network</v>
      </c>
    </row>
    <row r="9" spans="1:7" x14ac:dyDescent="0.25">
      <c r="A9" t="s">
        <v>86</v>
      </c>
      <c r="B9" t="s">
        <v>45</v>
      </c>
      <c r="C9">
        <v>1</v>
      </c>
      <c r="D9" s="1">
        <f>_xlfn.IFNA(VLOOKUP(B9,'Freq Lookup'!$A$1:$B$6,2,FALSE)*C9, 0)</f>
        <v>4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Update the firmware on the client's Meraki devices</v>
      </c>
      <c r="G9" s="1" t="str">
        <f>VLOOKUP($A9,Tasks!$A$2:$D$101,4,FALSE)</f>
        <v>Network</v>
      </c>
    </row>
    <row r="10" spans="1:7" x14ac:dyDescent="0.25">
      <c r="A10" t="s">
        <v>109</v>
      </c>
      <c r="B10" t="s">
        <v>41</v>
      </c>
      <c r="C10">
        <v>0.5</v>
      </c>
      <c r="D10" s="1">
        <f>_xlfn.IFNA(VLOOKUP(B10,'Freq Lookup'!$A$1:$B$6,2,FALSE)*C10, 0)</f>
        <v>6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Review the client's windows server application and security logs for standout issues</v>
      </c>
      <c r="G10" s="1" t="str">
        <f>VLOOKUP($A10,Tasks!$A$2:$D$101,4,FALSE)</f>
        <v>System</v>
      </c>
    </row>
    <row r="11" spans="1:7" x14ac:dyDescent="0.25">
      <c r="A11" t="s">
        <v>87</v>
      </c>
      <c r="B11" t="s">
        <v>41</v>
      </c>
      <c r="C11">
        <v>0.5</v>
      </c>
      <c r="D11" s="1">
        <f>_xlfn.IFNA(VLOOKUP(B11,'Freq Lookup'!$A$1:$B$6,2,FALSE)*C11, 0)</f>
        <v>6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Review the client's Meraki portal for issues that could impact the network</v>
      </c>
      <c r="G11" s="1" t="str">
        <f>VLOOKUP($A11,Tasks!$A$2:$D$101,4,FALSE)</f>
        <v>Network</v>
      </c>
    </row>
    <row r="12" spans="1:7" x14ac:dyDescent="0.25">
      <c r="A12" t="s">
        <v>103</v>
      </c>
      <c r="B12" t="s">
        <v>41</v>
      </c>
      <c r="C12">
        <v>1</v>
      </c>
      <c r="D12" s="1">
        <f>_xlfn.IFNA(VLOOKUP(B12,'Freq Lookup'!$A$1:$B$6,2,FALSE)*C12, 0)</f>
        <v>12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Utilizing Auvik, review the client's network for issues. Ensure all infrastructure devices are SNMP \ login integrated. Ensure that all devices classified appropraitely.</v>
      </c>
      <c r="G12" s="1" t="str">
        <f>VLOOKUP($A12,Tasks!$A$2:$D$101,4,FALSE)</f>
        <v>Network</v>
      </c>
    </row>
    <row r="13" spans="1:7" x14ac:dyDescent="0.25">
      <c r="A13" t="s">
        <v>88</v>
      </c>
      <c r="B13" t="s">
        <v>41</v>
      </c>
      <c r="C13">
        <v>0.25</v>
      </c>
      <c r="D13" s="1">
        <f>_xlfn.IFNA(VLOOKUP(B13,'Freq Lookup'!$A$1:$B$6,2,FALSE)*C13, 0)</f>
        <v>3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Review the client's Google Apps portal for licensing or other issues</v>
      </c>
      <c r="G13" s="1" t="str">
        <f>VLOOKUP($A13,Tasks!$A$2:$D$101,4,FALSE)</f>
        <v>Cloud</v>
      </c>
    </row>
    <row r="14" spans="1:7" x14ac:dyDescent="0.25">
      <c r="A14" t="s">
        <v>43</v>
      </c>
      <c r="B14" t="s">
        <v>41</v>
      </c>
      <c r="C14">
        <v>0.25</v>
      </c>
      <c r="D14" s="1">
        <f>_xlfn.IFNA(VLOOKUP(B14,'Freq Lookup'!$A$1:$B$6,2,FALSE)*C14, 0)</f>
        <v>3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Review the client's Office 365 portal for licensing or other issues</v>
      </c>
      <c r="G14" s="1" t="str">
        <f>VLOOKUP($A14,Tasks!$A$2:$D$101,4,FALSE)</f>
        <v>Cloud</v>
      </c>
    </row>
    <row r="15" spans="1:7" x14ac:dyDescent="0.25">
      <c r="A15" t="s">
        <v>121</v>
      </c>
      <c r="B15" t="s">
        <v>41</v>
      </c>
      <c r="C15">
        <v>0.5</v>
      </c>
      <c r="D15" s="1">
        <f>_xlfn.IFNA(VLOOKUP(B15,'Freq Lookup'!$A$1:$B$6,2,FALSE)*C15, 0)</f>
        <v>6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Review the Active Directory enviornment for issues via  repadmin, dcdiag. Review admin group memberships for unauthrized members</v>
      </c>
      <c r="G15" s="1" t="str">
        <f>VLOOKUP($A15,Tasks!$A$2:$D$101,4,FALSE)</f>
        <v>System</v>
      </c>
    </row>
    <row r="16" spans="1:7" x14ac:dyDescent="0.25">
      <c r="A16" t="s">
        <v>89</v>
      </c>
      <c r="B16" t="s">
        <v>51</v>
      </c>
      <c r="C16">
        <v>0.25</v>
      </c>
      <c r="D16" s="1">
        <f>_xlfn.IFNA(VLOOKUP(B16,'Freq Lookup'!$A$1:$B$6,2,FALSE)*C16, 0)</f>
        <v>13</v>
      </c>
      <c r="E16" s="1" t="str">
        <f ca="1">VLOOKUP(MID(CELL("filename",$A$1),FIND("]",CELL("filename",$A$1))+1,31),Clients!$A$2:$B$27,2,FALSE)</f>
        <v>Tsenn</v>
      </c>
      <c r="F16" s="1" t="str">
        <f>VLOOKUP(A16,Tasks!$A$2:$D$101,3,FALSE)</f>
        <v>Review status of the client's azure replications</v>
      </c>
      <c r="G16" s="1" t="str">
        <f>VLOOKUP($A16,Tasks!$A$2:$D$101,4,FALSE)</f>
        <v>System</v>
      </c>
    </row>
    <row r="17" spans="1:7" x14ac:dyDescent="0.25">
      <c r="A17" t="s">
        <v>68</v>
      </c>
      <c r="B17" t="s">
        <v>41</v>
      </c>
      <c r="C17">
        <v>0.5</v>
      </c>
      <c r="D17" s="1">
        <f>_xlfn.IFNA(VLOOKUP(B17,'Freq Lookup'!$A$1:$B$6,2,FALSE)*C17, 0)</f>
        <v>6</v>
      </c>
      <c r="E17" s="1" t="str">
        <f ca="1">VLOOKUP(MID(CELL("filename",$A$1),FIND("]",CELL("filename",$A$1))+1,31),Clients!$A$2:$B$27,2,FALSE)</f>
        <v>Tsenn</v>
      </c>
      <c r="F17" s="1" t="str">
        <f>VLOOKUP(A17,Tasks!$A$2:$D$101,3,FALSE)</f>
        <v>Review the Azure portal for issues.</v>
      </c>
      <c r="G17" s="1" t="str">
        <f>VLOOKUP($A17,Tasks!$A$2:$D$101,4,FALSE)</f>
        <v>Cloud</v>
      </c>
    </row>
    <row r="18" spans="1:7" x14ac:dyDescent="0.25">
      <c r="A18" s="1" t="s">
        <v>93</v>
      </c>
      <c r="B18" t="s">
        <v>45</v>
      </c>
      <c r="C18" s="1">
        <v>0.5</v>
      </c>
      <c r="D18" s="1">
        <f>_xlfn.IFNA(VLOOKUP(B18,'Freq Lookup'!$A$1:$B$6,2,FALSE)*C18, 0)</f>
        <v>2</v>
      </c>
      <c r="E18" s="1" t="str">
        <f ca="1">VLOOKUP(MID(CELL("filename",$A$1),FIND("]",CELL("filename",$A$1))+1,31),Clients!$A$2:$B$27,2,FALSE)</f>
        <v>Tsenn</v>
      </c>
      <c r="F18" s="1" t="str">
        <f>VLOOKUP(A18,Tasks!$A$2:$D$101,3,FALSE)</f>
        <v>Review the patch approval policies. Ensure all servers and workstations that are supposed to be automatically patched are (by being in the correct patch groups)</v>
      </c>
      <c r="G18" s="1" t="str">
        <f>VLOOKUP($A18,Tasks!$A$2:$D$101,4,FALSE)</f>
        <v>System</v>
      </c>
    </row>
    <row r="19" spans="1:7" x14ac:dyDescent="0.25">
      <c r="A19" s="1"/>
      <c r="C19" s="1"/>
      <c r="D19" s="1"/>
      <c r="E19" s="1"/>
      <c r="F19" s="1"/>
      <c r="G19" s="1"/>
    </row>
    <row r="20" spans="1:7" x14ac:dyDescent="0.25">
      <c r="A20" s="1"/>
      <c r="C20" s="1"/>
      <c r="D20" s="1"/>
      <c r="E20" s="1"/>
      <c r="F20" s="1"/>
      <c r="G20" s="1"/>
    </row>
    <row r="21" spans="1:7" x14ac:dyDescent="0.25">
      <c r="A21" s="1"/>
      <c r="C21" s="1"/>
      <c r="D21" s="1"/>
      <c r="E21" s="1"/>
      <c r="F21" s="1"/>
      <c r="G21" s="1"/>
    </row>
    <row r="22" spans="1:7" x14ac:dyDescent="0.25">
      <c r="A22" s="1"/>
      <c r="C22" s="1"/>
      <c r="D22" s="1"/>
      <c r="E22" s="1"/>
      <c r="F22" s="1"/>
      <c r="G22" s="1"/>
    </row>
    <row r="23" spans="1:7" x14ac:dyDescent="0.25">
      <c r="A23" s="1"/>
      <c r="C23" s="1"/>
      <c r="D23" s="1"/>
      <c r="E23" s="1"/>
      <c r="F23" s="1"/>
      <c r="G23" s="1"/>
    </row>
    <row r="24" spans="1:7" x14ac:dyDescent="0.25">
      <c r="A24" s="1"/>
      <c r="C24" s="1"/>
      <c r="D24" s="1"/>
      <c r="E24" s="1"/>
    </row>
    <row r="25" spans="1:7" x14ac:dyDescent="0.25">
      <c r="A25" s="1"/>
      <c r="C25" s="1"/>
      <c r="D25" s="1"/>
      <c r="E25" s="1"/>
    </row>
    <row r="26" spans="1:7" x14ac:dyDescent="0.25">
      <c r="A26" s="1"/>
      <c r="C26" s="1"/>
      <c r="D26" s="1"/>
      <c r="E26" s="1"/>
    </row>
    <row r="27" spans="1:7" x14ac:dyDescent="0.25">
      <c r="A27" s="1"/>
      <c r="C27" s="1"/>
      <c r="D27" s="1"/>
      <c r="E27" s="1"/>
    </row>
    <row r="28" spans="1:7" x14ac:dyDescent="0.25">
      <c r="A28" s="1"/>
      <c r="C28" s="1"/>
      <c r="D28" s="1"/>
      <c r="E28" s="1"/>
    </row>
    <row r="29" spans="1:7" x14ac:dyDescent="0.25">
      <c r="A29" s="1"/>
      <c r="C29" s="1"/>
      <c r="D29" s="1"/>
      <c r="E29" s="1"/>
    </row>
    <row r="30" spans="1:7" x14ac:dyDescent="0.25">
      <c r="A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0"/>
  <sheetViews>
    <sheetView workbookViewId="0">
      <selection activeCell="A22" sqref="A22:G22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55</v>
      </c>
      <c r="B7" t="s">
        <v>45</v>
      </c>
      <c r="C7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t="s">
        <v>56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Perform a file level restore utilizing the client's Veeam backups</v>
      </c>
      <c r="G8" s="1" t="str">
        <f>VLOOKUP($A8,Tasks!$A$2:$D$101,4,FALSE)</f>
        <v>System</v>
      </c>
    </row>
    <row r="9" spans="1:7" x14ac:dyDescent="0.25">
      <c r="A9" t="s">
        <v>57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t="s">
        <v>44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s="1" t="s">
        <v>84</v>
      </c>
      <c r="B11" s="1" t="s">
        <v>45</v>
      </c>
      <c r="C11">
        <v>2</v>
      </c>
      <c r="D11" s="1">
        <f>_xlfn.IFNA(VLOOKUP(B11,'Freq Lookup'!$A$1:$B$6,2,FALSE)*C11, 0)</f>
        <v>8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Patch the client's hyper-v holst</v>
      </c>
      <c r="G11" s="1" t="str">
        <f>VLOOKUP($A11,Tasks!$A$2:$D$101,4,FALSE)</f>
        <v>System</v>
      </c>
    </row>
    <row r="12" spans="1:7" x14ac:dyDescent="0.25">
      <c r="A12" t="s">
        <v>46</v>
      </c>
      <c r="B12" t="s">
        <v>45</v>
      </c>
      <c r="C12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reccommended firewall firmware</v>
      </c>
      <c r="G12" s="1" t="str">
        <f>VLOOKUP($A12,Tasks!$A$2:$D$101,4,FALSE)</f>
        <v>Network</v>
      </c>
    </row>
    <row r="13" spans="1:7" x14ac:dyDescent="0.25">
      <c r="A13" t="s">
        <v>64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latest SQL service pack</v>
      </c>
      <c r="G13" s="1" t="str">
        <f>VLOOKUP($A13,Tasks!$A$2:$D$101,4,FALSE)</f>
        <v>Application</v>
      </c>
    </row>
    <row r="14" spans="1:7" x14ac:dyDescent="0.25">
      <c r="A14" t="s">
        <v>102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Install the latest Exchange rollup</v>
      </c>
      <c r="G14" s="1" t="str">
        <f>VLOOKUP($A14,Tasks!$A$2:$D$101,4,FALSE)</f>
        <v>Application</v>
      </c>
    </row>
    <row r="15" spans="1:7" x14ac:dyDescent="0.25">
      <c r="A15" t="s">
        <v>59</v>
      </c>
      <c r="B15" t="s">
        <v>116</v>
      </c>
      <c r="C15">
        <v>0.5</v>
      </c>
      <c r="D15" s="1">
        <f>_xlfn.IFNA(VLOOKUP(B15,'Freq Lookup'!$A$1:$B$6,2,FALSE)*C15, 0)</f>
        <v>1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Work with the account's vCIO or primary engineer to review the configuration of the client's backup jobs. Ensure that the configuraiton is still optimal for the client's environment</v>
      </c>
      <c r="G15" s="1" t="str">
        <f>VLOOKUP($A15,Tasks!$A$2:$D$101,4,FALSE)</f>
        <v>System</v>
      </c>
    </row>
    <row r="16" spans="1:7" x14ac:dyDescent="0.25">
      <c r="A16" t="s">
        <v>60</v>
      </c>
      <c r="B16" t="s">
        <v>116</v>
      </c>
      <c r="C16">
        <v>1</v>
      </c>
      <c r="D16" s="1">
        <f>_xlfn.IFNA(VLOOKUP(B16,'Freq Lookup'!$A$1:$B$6,2,FALSE)*C16, 0)</f>
        <v>2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Update the firmware on the client's servers - For  HP servers check for a model specific BIOS update that may have been released after the latest ISO/</v>
      </c>
      <c r="G16" s="1" t="str">
        <f>VLOOKUP($A16,Tasks!$A$2:$D$101,4,FALSE)</f>
        <v>System</v>
      </c>
    </row>
    <row r="17" spans="1:7" x14ac:dyDescent="0.25">
      <c r="A17" t="s">
        <v>47</v>
      </c>
      <c r="B17" t="s">
        <v>48</v>
      </c>
      <c r="C17">
        <v>2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client's switches</v>
      </c>
      <c r="G17" s="1" t="str">
        <f>VLOOKUP($A17,Tasks!$A$2:$D$101,4,FALSE)</f>
        <v>Network</v>
      </c>
    </row>
    <row r="18" spans="1:7" x14ac:dyDescent="0.25">
      <c r="A18" t="s">
        <v>49</v>
      </c>
      <c r="B18" t="s">
        <v>48</v>
      </c>
      <c r="C18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t="s">
        <v>62</v>
      </c>
      <c r="B19" t="s">
        <v>45</v>
      </c>
      <c r="C19">
        <v>1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Install the latest version of Veeam Backup and Replication</v>
      </c>
      <c r="G19" s="1" t="str">
        <f>VLOOKUP($A19,Tasks!$A$2:$D$101,4,FALSE)</f>
        <v>System</v>
      </c>
    </row>
    <row r="20" spans="1:7" x14ac:dyDescent="0.25">
      <c r="A20" t="s">
        <v>83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Perform an audit of the client's switch configuration for issues</v>
      </c>
      <c r="G20" s="1" t="str">
        <f>VLOOKUP($A20,Tasks!$A$2:$D$101,4,FALSE)</f>
        <v>Security</v>
      </c>
    </row>
    <row r="21" spans="1:7" x14ac:dyDescent="0.25">
      <c r="A21" t="s">
        <v>103</v>
      </c>
      <c r="B21" t="s">
        <v>41</v>
      </c>
      <c r="C21">
        <v>1</v>
      </c>
      <c r="D21" s="1">
        <f>_xlfn.IFNA(VLOOKUP(B21,'Freq Lookup'!$A$1:$B$6,2,FALSE)*C21, 0)</f>
        <v>12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Utilizing Auvik, review the client's network for issues. Ensure all infrastructure devices are SNMP \ login integrated. Ensure that all devices classified appropraitely.</v>
      </c>
      <c r="G21" s="1" t="str">
        <f>VLOOKUP($A21,Tasks!$A$2:$D$101,4,FALSE)</f>
        <v>Network</v>
      </c>
    </row>
    <row r="22" spans="1:7" x14ac:dyDescent="0.25">
      <c r="A22" s="1" t="s">
        <v>93</v>
      </c>
      <c r="B22" t="s">
        <v>45</v>
      </c>
      <c r="C22" s="1">
        <v>0.5</v>
      </c>
      <c r="D22" s="1">
        <f>_xlfn.IFNA(VLOOKUP(B22,'Freq Lookup'!$A$1:$B$6,2,FALSE)*C22, 0)</f>
        <v>2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Review the patch approval policies. Ensure all servers and workstations that are supposed to be automatically patched are (by being in the correct patch groups)</v>
      </c>
      <c r="G22" s="1" t="str">
        <f>VLOOKUP($A22,Tasks!$A$2:$D$101,4,FALSE)</f>
        <v>System</v>
      </c>
    </row>
    <row r="23" spans="1:7" x14ac:dyDescent="0.25">
      <c r="A23" t="s">
        <v>66</v>
      </c>
      <c r="B23" t="s">
        <v>45</v>
      </c>
      <c r="C23">
        <v>1</v>
      </c>
      <c r="D23" s="1">
        <f>_xlfn.IFNA(VLOOKUP(B23,'Freq Lookup'!$A$1:$B$6,2,FALSE)*C23, 0)</f>
        <v>4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Update the firmware on the client's access points</v>
      </c>
      <c r="G23" s="1" t="str">
        <f>VLOOKUP($A23,Tasks!$A$2:$D$101,4,FALSE)</f>
        <v>Network</v>
      </c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Calculator\[EAS BPA Proposal 09062019 DRAFT 1.xlsx]Frequnecy vlookup'!#REF!</xm:f>
          </x14:formula1>
          <xm:sqref>B2:B10 B12:B18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30"/>
  <sheetViews>
    <sheetView workbookViewId="0">
      <selection activeCell="A26" sqref="A26:G26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BHeuser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BHeuser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BHeuser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BHeuser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68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BHeuser</v>
      </c>
      <c r="F6" s="1" t="str">
        <f>VLOOKUP(A6,Tasks!$A$2:$D$101,3,FALSE)</f>
        <v>Review the Azure portal for issues.</v>
      </c>
      <c r="G6" s="1" t="str">
        <f>VLOOKUP($A6,Tasks!$A$2:$D$101,4,FALSE)</f>
        <v>Cloud</v>
      </c>
    </row>
    <row r="7" spans="1:7" x14ac:dyDescent="0.25">
      <c r="A7" t="s">
        <v>109</v>
      </c>
      <c r="B7" t="s">
        <v>41</v>
      </c>
      <c r="C7">
        <v>0.5</v>
      </c>
      <c r="D7" s="1">
        <f>_xlfn.IFNA(VLOOKUP(B7,'Freq Lookup'!$A$1:$B$6,2,FALSE)*C7, 0)</f>
        <v>6</v>
      </c>
      <c r="E7" s="1" t="str">
        <f ca="1">VLOOKUP(MID(CELL("filename",$A$1),FIND("]",CELL("filename",$A$1))+1,31),Clients!$A$2:$B$27,2,FALSE)</f>
        <v>BHeuser</v>
      </c>
      <c r="F7" s="1" t="str">
        <f>VLOOKUP(A7,Tasks!$A$2:$D$101,3,FALSE)</f>
        <v>Review the client's windows server application and security logs for standout issues</v>
      </c>
      <c r="G7" s="1" t="str">
        <f>VLOOKUP($A7,Tasks!$A$2:$D$101,4,FALSE)</f>
        <v>System</v>
      </c>
    </row>
    <row r="8" spans="1:7" x14ac:dyDescent="0.25">
      <c r="A8" t="s">
        <v>63</v>
      </c>
      <c r="B8" t="s">
        <v>45</v>
      </c>
      <c r="C8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BHeuser</v>
      </c>
      <c r="F8" s="1" t="str">
        <f>VLOOKUP(A8,Tasks!$A$2:$D$101,3,FALSE)</f>
        <v>Update vCenter to the latest patch for the currently installed version</v>
      </c>
      <c r="G8" s="1" t="str">
        <f>VLOOKUP($A8,Tasks!$A$2:$D$101,4,FALSE)</f>
        <v>System</v>
      </c>
    </row>
    <row r="9" spans="1:7" x14ac:dyDescent="0.25">
      <c r="A9" t="s">
        <v>55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BHeuser</v>
      </c>
      <c r="F9" s="1" t="str">
        <f>VLOOKUP(A9,Tasks!$A$2:$D$101,3,FALSE)</f>
        <v>Take a backup of the hypervisor configuration and store the data in ITG, attach to the appropriate client device</v>
      </c>
      <c r="G9" s="1" t="str">
        <f>VLOOKUP($A9,Tasks!$A$2:$D$101,4,FALSE)</f>
        <v>System</v>
      </c>
    </row>
    <row r="10" spans="1:7" x14ac:dyDescent="0.25">
      <c r="A10" t="s">
        <v>56</v>
      </c>
      <c r="B10" t="s">
        <v>45</v>
      </c>
      <c r="C10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BHeuser</v>
      </c>
      <c r="F10" s="1" t="str">
        <f>VLOOKUP(A10,Tasks!$A$2:$D$101,3,FALSE)</f>
        <v>Perform a file level restore utilizing the client's Veeam backups</v>
      </c>
      <c r="G10" s="1" t="str">
        <f>VLOOKUP($A10,Tasks!$A$2:$D$101,4,FALSE)</f>
        <v>System</v>
      </c>
    </row>
    <row r="11" spans="1:7" x14ac:dyDescent="0.25">
      <c r="A11" t="s">
        <v>57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BHeuser</v>
      </c>
      <c r="F11" s="1" t="str">
        <f>VLOOKUP(A11,Tasks!$A$2:$D$101,3,FALSE)</f>
        <v>Update the iLO firmware on the cleint's servers</v>
      </c>
      <c r="G11" s="1" t="str">
        <f>VLOOKUP($A11,Tasks!$A$2:$D$101,4,FALSE)</f>
        <v>System</v>
      </c>
    </row>
    <row r="12" spans="1:7" x14ac:dyDescent="0.25">
      <c r="A12" t="s">
        <v>44</v>
      </c>
      <c r="B12" t="s">
        <v>45</v>
      </c>
      <c r="C12">
        <v>2</v>
      </c>
      <c r="D12" s="1">
        <f>_xlfn.IFNA(VLOOKUP(B12,'Freq Lookup'!$A$1:$B$6,2,FALSE)*C12, 0)</f>
        <v>8</v>
      </c>
      <c r="E12" s="1" t="str">
        <f ca="1">VLOOKUP(MID(CELL("filename",$A$1),FIND("]",CELL("filename",$A$1))+1,31),Clients!$A$2:$B$27,2,FALSE)</f>
        <v>BHeuser</v>
      </c>
      <c r="F12" s="1" t="str">
        <f>VLOOKUP(A12,Tasks!$A$2:$D$101,3,FALSE)</f>
        <v>Update the firmware on the client's NAS device(s)</v>
      </c>
      <c r="G12" s="1" t="str">
        <f>VLOOKUP($A12,Tasks!$A$2:$D$101,4,FALSE)</f>
        <v>Storage</v>
      </c>
    </row>
    <row r="13" spans="1:7" x14ac:dyDescent="0.25">
      <c r="A13" t="s">
        <v>58</v>
      </c>
      <c r="B13" t="s">
        <v>45</v>
      </c>
      <c r="C13">
        <v>4</v>
      </c>
      <c r="D13" s="1">
        <f>_xlfn.IFNA(VLOOKUP(B13,'Freq Lookup'!$A$1:$B$6,2,FALSE)*C13, 0)</f>
        <v>16</v>
      </c>
      <c r="E13" s="1" t="str">
        <f ca="1">VLOOKUP(MID(CELL("filename",$A$1),FIND("]",CELL("filename",$A$1))+1,31),Clients!$A$2:$B$27,2,FALSE)</f>
        <v>BHeuser</v>
      </c>
      <c r="F13" s="1" t="str">
        <f>VLOOKUP(A13,Tasks!$A$2:$D$101,3,FALSE)</f>
        <v>Install the latest ESXi patch for the currently installed version</v>
      </c>
      <c r="G13" s="1" t="str">
        <f>VLOOKUP($A13,Tasks!$A$2:$D$101,4,FALSE)</f>
        <v>System</v>
      </c>
    </row>
    <row r="14" spans="1:7" x14ac:dyDescent="0.25">
      <c r="A14" t="s">
        <v>46</v>
      </c>
      <c r="B14" t="s">
        <v>45</v>
      </c>
      <c r="C14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BHeuser</v>
      </c>
      <c r="F14" s="1" t="str">
        <f>VLOOKUP(A14,Tasks!$A$2:$D$101,3,FALSE)</f>
        <v>Install the reccommended firewall firmware</v>
      </c>
      <c r="G14" s="1" t="str">
        <f>VLOOKUP($A14,Tasks!$A$2:$D$101,4,FALSE)</f>
        <v>Network</v>
      </c>
    </row>
    <row r="15" spans="1:7" x14ac:dyDescent="0.25">
      <c r="A15" t="s">
        <v>64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BHeuser</v>
      </c>
      <c r="F15" s="1" t="str">
        <f>VLOOKUP(A15,Tasks!$A$2:$D$101,3,FALSE)</f>
        <v>Install the latest SQL service pack</v>
      </c>
      <c r="G15" s="1" t="str">
        <f>VLOOKUP($A15,Tasks!$A$2:$D$101,4,FALSE)</f>
        <v>Application</v>
      </c>
    </row>
    <row r="16" spans="1:7" x14ac:dyDescent="0.25">
      <c r="A16" t="s">
        <v>59</v>
      </c>
      <c r="B16" t="s">
        <v>116</v>
      </c>
      <c r="C16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BHeuser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t="s">
        <v>60</v>
      </c>
      <c r="B17" t="s">
        <v>116</v>
      </c>
      <c r="C17">
        <v>1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BHeuser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8</v>
      </c>
      <c r="D18" s="1">
        <f>_xlfn.IFNA(VLOOKUP(B18,'Freq Lookup'!$A$1:$B$6,2,FALSE)*C18, 0)</f>
        <v>8</v>
      </c>
      <c r="E18" s="1" t="str">
        <f ca="1">VLOOKUP(MID(CELL("filename",$A$1),FIND("]",CELL("filename",$A$1))+1,31),Clients!$A$2:$B$27,2,FALSE)</f>
        <v>BHeuser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61</v>
      </c>
      <c r="B19" t="s">
        <v>48</v>
      </c>
      <c r="C19">
        <v>4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BHeuser</v>
      </c>
      <c r="F19" s="1" t="str">
        <f>VLOOKUP(A19,Tasks!$A$2:$D$101,3,FALSE)</f>
        <v>Update the firmware on the client's router(s)</v>
      </c>
      <c r="G19" s="1" t="str">
        <f>VLOOKUP($A19,Tasks!$A$2:$D$101,4,FALSE)</f>
        <v>Network</v>
      </c>
    </row>
    <row r="20" spans="1:7" x14ac:dyDescent="0.25">
      <c r="A20" t="s">
        <v>65</v>
      </c>
      <c r="B20" t="s">
        <v>48</v>
      </c>
      <c r="C20">
        <v>4</v>
      </c>
      <c r="D20" s="1">
        <f>_xlfn.IFNA(VLOOKUP(B20,'Freq Lookup'!$A$1:$B$6,2,FALSE)*C20, 0)</f>
        <v>4</v>
      </c>
      <c r="E20" s="1" t="str">
        <f ca="1">VLOOKUP(MID(CELL("filename",$A$1),FIND("]",CELL("filename",$A$1))+1,31),Clients!$A$2:$B$27,2,FALSE)</f>
        <v>BHeuser</v>
      </c>
      <c r="F20" s="1" t="str">
        <f>VLOOKUP(A20,Tasks!$A$2:$D$101,3,FALSE)</f>
        <v>Update the firmware on the web controller of the client's UPS(s)</v>
      </c>
      <c r="G20" s="1" t="str">
        <f>VLOOKUP($A20,Tasks!$A$2:$D$101,4,FALSE)</f>
        <v>System</v>
      </c>
    </row>
    <row r="21" spans="1:7" x14ac:dyDescent="0.25">
      <c r="A21" t="s">
        <v>49</v>
      </c>
      <c r="B21" t="s">
        <v>48</v>
      </c>
      <c r="C21">
        <v>1</v>
      </c>
      <c r="D21" s="1">
        <f>_xlfn.IFNA(VLOOKUP(B21,'Freq Lookup'!$A$1:$B$6,2,FALSE)*C21, 0)</f>
        <v>1</v>
      </c>
      <c r="E21" s="1" t="str">
        <f ca="1">VLOOKUP(MID(CELL("filename",$A$1),FIND("]",CELL("filename",$A$1))+1,31),Clients!$A$2:$B$27,2,FALSE)</f>
        <v>BHeuser</v>
      </c>
      <c r="F21" s="1" t="str">
        <f>VLOOKUP(A21,Tasks!$A$2:$D$101,3,FALSE)</f>
        <v>Work with the account's vCIO or primary engineer to review the configuration of the client's Group policies. Ensure that the configuraiton is still optimal for the client's environment.</v>
      </c>
      <c r="G21" s="1" t="str">
        <f>VLOOKUP($A21,Tasks!$A$2:$D$101,4,FALSE)</f>
        <v>System</v>
      </c>
    </row>
    <row r="22" spans="1:7" x14ac:dyDescent="0.25">
      <c r="A22" t="s">
        <v>62</v>
      </c>
      <c r="B22" t="s">
        <v>45</v>
      </c>
      <c r="C22">
        <v>1</v>
      </c>
      <c r="D22" s="1">
        <f>_xlfn.IFNA(VLOOKUP(B22,'Freq Lookup'!$A$1:$B$6,2,FALSE)*C22, 0)</f>
        <v>4</v>
      </c>
      <c r="E22" s="1" t="str">
        <f ca="1">VLOOKUP(MID(CELL("filename",$A$1),FIND("]",CELL("filename",$A$1))+1,31),Clients!$A$2:$B$27,2,FALSE)</f>
        <v>BHeuser</v>
      </c>
      <c r="F22" s="1" t="str">
        <f>VLOOKUP(A22,Tasks!$A$2:$D$101,3,FALSE)</f>
        <v>Install the latest version of Veeam Backup and Replication</v>
      </c>
      <c r="G22" s="1" t="str">
        <f>VLOOKUP($A22,Tasks!$A$2:$D$101,4,FALSE)</f>
        <v>System</v>
      </c>
    </row>
    <row r="23" spans="1:7" x14ac:dyDescent="0.25">
      <c r="A23" s="1" t="s">
        <v>78</v>
      </c>
      <c r="B23" t="s">
        <v>45</v>
      </c>
      <c r="C23" s="1">
        <v>4</v>
      </c>
      <c r="D23" s="1">
        <f>_xlfn.IFNA(VLOOKUP(B23,'Freq Lookup'!$A$1:$B$6,2,FALSE)*C23, 0)</f>
        <v>16</v>
      </c>
      <c r="E23" s="1" t="str">
        <f ca="1">VLOOKUP(MID(CELL("filename",$A$1),FIND("]",CELL("filename",$A$1))+1,31),Clients!$A$2:$B$27,2,FALSE)</f>
        <v>BHeuser</v>
      </c>
      <c r="F23" s="1" t="str">
        <f>VLOOKUP(A23,Tasks!$A$2:$D$101,3,FALSE)</f>
        <v>Before a DR failover test or execute the client's DR Test</v>
      </c>
      <c r="G23" s="1" t="str">
        <f>VLOOKUP($A23,Tasks!$A$2:$D$101,4,FALSE)</f>
        <v>System</v>
      </c>
    </row>
    <row r="24" spans="1:7" x14ac:dyDescent="0.25">
      <c r="A24" t="s">
        <v>83</v>
      </c>
      <c r="B24" t="s">
        <v>48</v>
      </c>
      <c r="C24">
        <v>2</v>
      </c>
      <c r="D24" s="1">
        <f>_xlfn.IFNA(VLOOKUP(B24,'Freq Lookup'!$A$1:$B$6,2,FALSE)*C24, 0)</f>
        <v>2</v>
      </c>
      <c r="E24" s="1" t="str">
        <f ca="1">VLOOKUP(MID(CELL("filename",$A$1),FIND("]",CELL("filename",$A$1))+1,31),Clients!$A$2:$B$27,2,FALSE)</f>
        <v>BHeuser</v>
      </c>
      <c r="F24" s="1" t="str">
        <f>VLOOKUP(A24,Tasks!$A$2:$D$101,3,FALSE)</f>
        <v>Perform an audit of the client's switch configuration for issues</v>
      </c>
      <c r="G24" s="1" t="str">
        <f>VLOOKUP($A24,Tasks!$A$2:$D$101,4,FALSE)</f>
        <v>Security</v>
      </c>
    </row>
    <row r="25" spans="1:7" x14ac:dyDescent="0.25">
      <c r="A25" t="s">
        <v>103</v>
      </c>
      <c r="B25" t="s">
        <v>41</v>
      </c>
      <c r="C25">
        <v>1</v>
      </c>
      <c r="D25" s="1">
        <f>_xlfn.IFNA(VLOOKUP(B25,'Freq Lookup'!$A$1:$B$6,2,FALSE)*C25, 0)</f>
        <v>12</v>
      </c>
      <c r="E25" s="1" t="str">
        <f ca="1">VLOOKUP(MID(CELL("filename",$A$1),FIND("]",CELL("filename",$A$1))+1,31),Clients!$A$2:$B$27,2,FALSE)</f>
        <v>BHeuser</v>
      </c>
      <c r="F25" s="1" t="str">
        <f>VLOOKUP(A25,Tasks!$A$2:$D$101,3,FALSE)</f>
        <v>Utilizing Auvik, review the client's network for issues. Ensure all infrastructure devices are SNMP \ login integrated. Ensure that all devices classified appropraitely.</v>
      </c>
      <c r="G25" s="1" t="str">
        <f>VLOOKUP($A25,Tasks!$A$2:$D$101,4,FALSE)</f>
        <v>Network</v>
      </c>
    </row>
    <row r="26" spans="1:7" x14ac:dyDescent="0.25">
      <c r="A26" s="1" t="s">
        <v>93</v>
      </c>
      <c r="B26" t="s">
        <v>45</v>
      </c>
      <c r="C26" s="1">
        <v>0.5</v>
      </c>
      <c r="D26" s="1">
        <f>_xlfn.IFNA(VLOOKUP(B26,'Freq Lookup'!$A$1:$B$6,2,FALSE)*C26, 0)</f>
        <v>2</v>
      </c>
      <c r="E26" s="1" t="str">
        <f ca="1">VLOOKUP(MID(CELL("filename",$A$1),FIND("]",CELL("filename",$A$1))+1,31),Clients!$A$2:$B$27,2,FALSE)</f>
        <v>BHeuser</v>
      </c>
      <c r="F26" s="1" t="str">
        <f>VLOOKUP(A26,Tasks!$A$2:$D$101,3,FALSE)</f>
        <v>Review the patch approval policies. Ensure all servers and workstations that are supposed to be automatically patched are (by being in the correct patch groups)</v>
      </c>
      <c r="G26" s="1" t="str">
        <f>VLOOKUP($A26,Tasks!$A$2:$D$101,4,FALSE)</f>
        <v>System</v>
      </c>
    </row>
    <row r="27" spans="1:7" x14ac:dyDescent="0.25">
      <c r="A27" t="s">
        <v>66</v>
      </c>
      <c r="B27" t="s">
        <v>45</v>
      </c>
      <c r="C27">
        <v>1</v>
      </c>
      <c r="D27" s="1">
        <f>_xlfn.IFNA(VLOOKUP(B27,'Freq Lookup'!$A$1:$B$6,2,FALSE)*C27, 0)</f>
        <v>4</v>
      </c>
      <c r="E27" s="1" t="str">
        <f ca="1">VLOOKUP(MID(CELL("filename",$A$1),FIND("]",CELL("filename",$A$1))+1,31),Clients!$A$2:$B$27,2,FALSE)</f>
        <v>BHeuser</v>
      </c>
      <c r="F27" s="1" t="str">
        <f>VLOOKUP(A27,Tasks!$A$2:$D$101,3,FALSE)</f>
        <v>Update the firmware on the client's access points</v>
      </c>
      <c r="G27" s="1" t="str">
        <f>VLOOKUP($A27,Tasks!$A$2:$D$101,4,FALSE)</f>
        <v>Network</v>
      </c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B2:B21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41"/>
  <sheetViews>
    <sheetView workbookViewId="0">
      <selection activeCell="A19" sqref="A19:G19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s="1" t="s">
        <v>121</v>
      </c>
      <c r="B2" s="1" t="s">
        <v>41</v>
      </c>
      <c r="C2" s="1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s="1" t="s">
        <v>42</v>
      </c>
      <c r="B3" s="1" t="s">
        <v>41</v>
      </c>
      <c r="C3" s="1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s="1" t="s">
        <v>43</v>
      </c>
      <c r="B4" s="1" t="s">
        <v>41</v>
      </c>
      <c r="C4" s="1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s="1" t="s">
        <v>109</v>
      </c>
      <c r="B5" s="1" t="s">
        <v>41</v>
      </c>
      <c r="C5" s="1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s="1" t="s">
        <v>55</v>
      </c>
      <c r="B6" s="1" t="s">
        <v>45</v>
      </c>
      <c r="C6" s="1">
        <v>0.25</v>
      </c>
      <c r="D6" s="1">
        <f>_xlfn.IFNA(VLOOKUP(B6,'Freq Lookup'!$A$1:$B$6,2,FALSE)*C6, 0)</f>
        <v>1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Take a backup of the hypervisor configuration and store the data in ITG, attach to the appropriate client device</v>
      </c>
      <c r="G6" s="1" t="str">
        <f>VLOOKUP($A6,Tasks!$A$2:$D$101,4,FALSE)</f>
        <v>System</v>
      </c>
    </row>
    <row r="7" spans="1:7" x14ac:dyDescent="0.25">
      <c r="A7" s="1" t="s">
        <v>57</v>
      </c>
      <c r="B7" s="1" t="s">
        <v>45</v>
      </c>
      <c r="C7" s="1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Update the iLO firmware on the cleint's servers</v>
      </c>
      <c r="G7" s="1" t="str">
        <f>VLOOKUP($A7,Tasks!$A$2:$D$101,4,FALSE)</f>
        <v>System</v>
      </c>
    </row>
    <row r="8" spans="1:7" x14ac:dyDescent="0.25">
      <c r="A8" s="1" t="s">
        <v>58</v>
      </c>
      <c r="B8" s="1" t="s">
        <v>45</v>
      </c>
      <c r="C8" s="1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Install the latest ESXi patch for the currently installed version</v>
      </c>
      <c r="G8" s="1" t="str">
        <f>VLOOKUP($A8,Tasks!$A$2:$D$101,4,FALSE)</f>
        <v>System</v>
      </c>
    </row>
    <row r="9" spans="1:7" x14ac:dyDescent="0.25">
      <c r="A9" s="1" t="s">
        <v>46</v>
      </c>
      <c r="B9" s="1" t="s">
        <v>45</v>
      </c>
      <c r="C9" s="1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Install the reccommended firewall firmware</v>
      </c>
      <c r="G9" s="1" t="str">
        <f>VLOOKUP($A9,Tasks!$A$2:$D$101,4,FALSE)</f>
        <v>Network</v>
      </c>
    </row>
    <row r="10" spans="1:7" x14ac:dyDescent="0.25">
      <c r="A10" s="1" t="s">
        <v>64</v>
      </c>
      <c r="B10" s="1" t="s">
        <v>45</v>
      </c>
      <c r="C10" s="1">
        <v>1</v>
      </c>
      <c r="D10" s="1">
        <f>_xlfn.IFNA(VLOOKUP(B10,'Freq Lookup'!$A$1:$B$6,2,FALSE)*C10, 0)</f>
        <v>4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Install the latest SQL service pack</v>
      </c>
      <c r="G10" s="1" t="str">
        <f>VLOOKUP($A10,Tasks!$A$2:$D$101,4,FALSE)</f>
        <v>Application</v>
      </c>
    </row>
    <row r="11" spans="1:7" x14ac:dyDescent="0.25">
      <c r="A11" s="1" t="s">
        <v>60</v>
      </c>
      <c r="B11" s="1" t="s">
        <v>116</v>
      </c>
      <c r="C11" s="1">
        <v>1</v>
      </c>
      <c r="D11" s="1">
        <f>_xlfn.IFNA(VLOOKUP(B11,'Freq Lookup'!$A$1:$B$6,2,FALSE)*C11, 0)</f>
        <v>2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Update the firmware on the client's servers - For  HP servers check for a model specific BIOS update that may have been released after the latest ISO/</v>
      </c>
      <c r="G11" s="1" t="str">
        <f>VLOOKUP($A11,Tasks!$A$2:$D$101,4,FALSE)</f>
        <v>System</v>
      </c>
    </row>
    <row r="12" spans="1:7" x14ac:dyDescent="0.25">
      <c r="A12" s="1" t="s">
        <v>47</v>
      </c>
      <c r="B12" s="1" t="s">
        <v>48</v>
      </c>
      <c r="C12" s="1">
        <v>1</v>
      </c>
      <c r="D12" s="1">
        <f>_xlfn.IFNA(VLOOKUP(B12,'Freq Lookup'!$A$1:$B$6,2,FALSE)*C12, 0)</f>
        <v>1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Update the firmware on the client's switches</v>
      </c>
      <c r="G12" s="1" t="str">
        <f>VLOOKUP($A12,Tasks!$A$2:$D$101,4,FALSE)</f>
        <v>Network</v>
      </c>
    </row>
    <row r="13" spans="1:7" x14ac:dyDescent="0.25">
      <c r="A13" s="1" t="s">
        <v>65</v>
      </c>
      <c r="B13" s="1" t="s">
        <v>48</v>
      </c>
      <c r="C13" s="1">
        <v>1</v>
      </c>
      <c r="D13" s="1">
        <f>_xlfn.IFNA(VLOOKUP(B13,'Freq Lookup'!$A$1:$B$6,2,FALSE)*C13, 0)</f>
        <v>1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Update the firmware on the web controller of the client's UPS(s)</v>
      </c>
      <c r="G13" s="1" t="str">
        <f>VLOOKUP($A13,Tasks!$A$2:$D$101,4,FALSE)</f>
        <v>System</v>
      </c>
    </row>
    <row r="14" spans="1:7" x14ac:dyDescent="0.25">
      <c r="A14" s="1" t="s">
        <v>49</v>
      </c>
      <c r="B14" s="1" t="s">
        <v>48</v>
      </c>
      <c r="C14" s="1">
        <v>1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Work with the account's vCIO or primary engineer to review the configuration of the client's Group policies. Ensure that the configuraiton is still optimal for the client's environment.</v>
      </c>
      <c r="G14" s="1" t="str">
        <f>VLOOKUP($A14,Tasks!$A$2:$D$101,4,FALSE)</f>
        <v>System</v>
      </c>
    </row>
    <row r="15" spans="1:7" x14ac:dyDescent="0.25">
      <c r="A15" t="s">
        <v>83</v>
      </c>
      <c r="B15" t="s">
        <v>48</v>
      </c>
      <c r="C15">
        <v>1</v>
      </c>
      <c r="D15" s="1">
        <f>_xlfn.IFNA(VLOOKUP(B15,'Freq Lookup'!$A$1:$B$6,2,FALSE)*C15, 0)</f>
        <v>1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Perform an audit of the client's switch configuration for issues</v>
      </c>
      <c r="G15" s="1" t="str">
        <f>VLOOKUP($A15,Tasks!$A$2:$D$101,4,FALSE)</f>
        <v>Security</v>
      </c>
    </row>
    <row r="16" spans="1:7" x14ac:dyDescent="0.25">
      <c r="A16" s="1" t="s">
        <v>107</v>
      </c>
      <c r="B16" s="1" t="s">
        <v>51</v>
      </c>
      <c r="C16" s="1">
        <v>0.25</v>
      </c>
      <c r="D16" s="1">
        <f>_xlfn.IFNA(VLOOKUP(B16,'Freq Lookup'!$A$1:$B$6,2,FALSE)*C16, 0)</f>
        <v>13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Review the client's Barracuda backups for issues</v>
      </c>
      <c r="G16" s="1" t="str">
        <f>VLOOKUP($A16,Tasks!$A$2:$D$101,4,FALSE)</f>
        <v>System</v>
      </c>
    </row>
    <row r="17" spans="1:7" x14ac:dyDescent="0.25">
      <c r="A17" s="1" t="s">
        <v>90</v>
      </c>
      <c r="B17" s="1" t="s">
        <v>45</v>
      </c>
      <c r="C17" s="1">
        <v>4</v>
      </c>
      <c r="D17" s="1">
        <f>_xlfn.IFNA(VLOOKUP(B17,'Freq Lookup'!$A$1:$B$6,2,FALSE)*C17, 0)</f>
        <v>16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client's Barracuda appliance and agents</v>
      </c>
      <c r="G17" s="1" t="str">
        <f>VLOOKUP($A17,Tasks!$A$2:$D$101,4,FALSE)</f>
        <v>System</v>
      </c>
    </row>
    <row r="18" spans="1:7" x14ac:dyDescent="0.25">
      <c r="A18" t="s">
        <v>103</v>
      </c>
      <c r="B18" t="s">
        <v>41</v>
      </c>
      <c r="C18">
        <v>1</v>
      </c>
      <c r="D18" s="1">
        <f>_xlfn.IFNA(VLOOKUP(B18,'Freq Lookup'!$A$1:$B$6,2,FALSE)*C18, 0)</f>
        <v>12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Utilizing Auvik, review the client's network for issues. Ensure all infrastructure devices are SNMP \ login integrated. Ensure that all devices classified appropraitely.</v>
      </c>
      <c r="G18" s="1" t="str">
        <f>VLOOKUP($A18,Tasks!$A$2:$D$101,4,FALSE)</f>
        <v>Network</v>
      </c>
    </row>
    <row r="19" spans="1:7" x14ac:dyDescent="0.25">
      <c r="A19" s="1" t="s">
        <v>93</v>
      </c>
      <c r="B19" t="s">
        <v>45</v>
      </c>
      <c r="C19" s="1">
        <v>0.5</v>
      </c>
      <c r="D19" s="1">
        <f>_xlfn.IFNA(VLOOKUP(B19,'Freq Lookup'!$A$1:$B$6,2,FALSE)*C19, 0)</f>
        <v>2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Review the patch approval policies. Ensure all servers and workstations that are supposed to be automatically patched are (by being in the correct patch groups)</v>
      </c>
      <c r="G19" s="1" t="str">
        <f>VLOOKUP($A19,Tasks!$A$2:$D$101,4,FALSE)</f>
        <v>System</v>
      </c>
    </row>
    <row r="20" spans="1:7" x14ac:dyDescent="0.25">
      <c r="A20" t="s">
        <v>66</v>
      </c>
      <c r="B20" t="s">
        <v>45</v>
      </c>
      <c r="C20">
        <v>1</v>
      </c>
      <c r="D20" s="1">
        <f>_xlfn.IFNA(VLOOKUP(B20,'Freq Lookup'!$A$1:$B$6,2,FALSE)*C20, 0)</f>
        <v>4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Update the firmware on the client's access points</v>
      </c>
      <c r="G20" s="1" t="str">
        <f>VLOOKUP($A20,Tasks!$A$2:$D$101,4,FALSE)</f>
        <v>Network</v>
      </c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1"/>
      <c r="D25" s="1"/>
      <c r="E25" s="1"/>
      <c r="F25" s="1"/>
      <c r="G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41" spans="10:10" x14ac:dyDescent="0.25">
      <c r="J41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30"/>
  <sheetViews>
    <sheetView workbookViewId="0">
      <selection activeCell="A25" sqref="A25:G25"/>
    </sheetView>
  </sheetViews>
  <sheetFormatPr defaultRowHeight="15" x14ac:dyDescent="0.25"/>
  <cols>
    <col min="1" max="1" width="54.28515625" bestFit="1" customWidth="1"/>
    <col min="2" max="2" width="12.42578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EThompson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EThompson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109</v>
      </c>
      <c r="B4" t="s">
        <v>41</v>
      </c>
      <c r="C4">
        <v>0.5</v>
      </c>
      <c r="D4" s="1">
        <f>_xlfn.IFNA(VLOOKUP(B4,'Freq Lookup'!$A$1:$B$6,2,FALSE)*C4, 0)</f>
        <v>6</v>
      </c>
      <c r="E4" s="1" t="str">
        <f ca="1">VLOOKUP(MID(CELL("filename",$A$1),FIND("]",CELL("filename",$A$1))+1,31),Clients!$A$2:$B$27,2,FALSE)</f>
        <v>EThompson</v>
      </c>
      <c r="F4" s="1" t="str">
        <f>VLOOKUP(A4,Tasks!$A$2:$D$101,3,FALSE)</f>
        <v>Review the client's windows server application and security logs for standout issues</v>
      </c>
      <c r="G4" s="1" t="str">
        <f>VLOOKUP($A4,Tasks!$A$2:$D$101,4,FALSE)</f>
        <v>System</v>
      </c>
    </row>
    <row r="5" spans="1:7" x14ac:dyDescent="0.25">
      <c r="A5" t="s">
        <v>63</v>
      </c>
      <c r="B5" t="s">
        <v>45</v>
      </c>
      <c r="C5">
        <v>1</v>
      </c>
      <c r="D5" s="1">
        <f>_xlfn.IFNA(VLOOKUP(B5,'Freq Lookup'!$A$1:$B$6,2,FALSE)*C5, 0)</f>
        <v>4</v>
      </c>
      <c r="E5" s="1" t="str">
        <f ca="1">VLOOKUP(MID(CELL("filename",$A$1),FIND("]",CELL("filename",$A$1))+1,31),Clients!$A$2:$B$27,2,FALSE)</f>
        <v>EThompson</v>
      </c>
      <c r="F5" s="1" t="str">
        <f>VLOOKUP(A5,Tasks!$A$2:$D$101,3,FALSE)</f>
        <v>Update vCenter to the latest patch for the currently installed version</v>
      </c>
      <c r="G5" s="1" t="str">
        <f>VLOOKUP($A5,Tasks!$A$2:$D$101,4,FALSE)</f>
        <v>System</v>
      </c>
    </row>
    <row r="6" spans="1:7" x14ac:dyDescent="0.25">
      <c r="A6" t="s">
        <v>66</v>
      </c>
      <c r="B6" t="s">
        <v>45</v>
      </c>
      <c r="C6">
        <v>2</v>
      </c>
      <c r="D6" s="1">
        <f>_xlfn.IFNA(VLOOKUP(B6,'Freq Lookup'!$A$1:$B$6,2,FALSE)*C6, 0)</f>
        <v>8</v>
      </c>
      <c r="E6" s="1" t="str">
        <f ca="1">VLOOKUP(MID(CELL("filename",$A$1),FIND("]",CELL("filename",$A$1))+1,31),Clients!$A$2:$B$27,2,FALSE)</f>
        <v>EThompson</v>
      </c>
      <c r="F6" s="1" t="str">
        <f>VLOOKUP(A6,Tasks!$A$2:$D$101,3,FALSE)</f>
        <v>Update the firmware on the client's access points</v>
      </c>
      <c r="G6" s="1" t="str">
        <f>VLOOKUP($A6,Tasks!$A$2:$D$101,4,FALSE)</f>
        <v>Network</v>
      </c>
    </row>
    <row r="7" spans="1:7" x14ac:dyDescent="0.25">
      <c r="A7" t="s">
        <v>55</v>
      </c>
      <c r="B7" t="s">
        <v>45</v>
      </c>
      <c r="C7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EThompson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t="s">
        <v>57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EThompson</v>
      </c>
      <c r="F8" s="1" t="str">
        <f>VLOOKUP(A8,Tasks!$A$2:$D$101,3,FALSE)</f>
        <v>Update the iLO firmware on the cleint's servers</v>
      </c>
      <c r="G8" s="1" t="str">
        <f>VLOOKUP($A8,Tasks!$A$2:$D$101,4,FALSE)</f>
        <v>System</v>
      </c>
    </row>
    <row r="9" spans="1:7" x14ac:dyDescent="0.25">
      <c r="A9" t="s">
        <v>69</v>
      </c>
      <c r="B9" t="s">
        <v>45</v>
      </c>
      <c r="C9">
        <v>4</v>
      </c>
      <c r="D9" s="1">
        <f>_xlfn.IFNA(VLOOKUP(B9,'Freq Lookup'!$A$1:$B$6,2,FALSE)*C9, 0)</f>
        <v>16</v>
      </c>
      <c r="E9" s="1" t="str">
        <f ca="1">VLOOKUP(MID(CELL("filename",$A$1),FIND("]",CELL("filename",$A$1))+1,31),Clients!$A$2:$B$27,2,FALSE)</f>
        <v>EThompson</v>
      </c>
      <c r="F9" s="1" t="str">
        <f>VLOOKUP(A9,Tasks!$A$2:$D$101,3,FALSE)</f>
        <v>Update the firmware on the client's SAN</v>
      </c>
      <c r="G9" s="1" t="str">
        <f>VLOOKUP($A9,Tasks!$A$2:$D$101,4,FALSE)</f>
        <v>Storage</v>
      </c>
    </row>
    <row r="10" spans="1:7" x14ac:dyDescent="0.25">
      <c r="A10" t="s">
        <v>58</v>
      </c>
      <c r="B10" t="s">
        <v>45</v>
      </c>
      <c r="C10">
        <v>4</v>
      </c>
      <c r="D10" s="1">
        <f>_xlfn.IFNA(VLOOKUP(B10,'Freq Lookup'!$A$1:$B$6,2,FALSE)*C10, 0)</f>
        <v>16</v>
      </c>
      <c r="E10" s="1" t="str">
        <f ca="1">VLOOKUP(MID(CELL("filename",$A$1),FIND("]",CELL("filename",$A$1))+1,31),Clients!$A$2:$B$27,2,FALSE)</f>
        <v>EThompson</v>
      </c>
      <c r="F10" s="1" t="str">
        <f>VLOOKUP(A10,Tasks!$A$2:$D$101,3,FALSE)</f>
        <v>Install the latest ESXi patch for the currently installed version</v>
      </c>
      <c r="G10" s="1" t="str">
        <f>VLOOKUP($A10,Tasks!$A$2:$D$101,4,FALSE)</f>
        <v>System</v>
      </c>
    </row>
    <row r="11" spans="1:7" x14ac:dyDescent="0.25">
      <c r="A11" t="s">
        <v>46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EThompson</v>
      </c>
      <c r="F11" s="1" t="str">
        <f>VLOOKUP(A11,Tasks!$A$2:$D$101,3,FALSE)</f>
        <v>Install the reccommended firewall firmware</v>
      </c>
      <c r="G11" s="1" t="str">
        <f>VLOOKUP($A11,Tasks!$A$2:$D$101,4,FALSE)</f>
        <v>Network</v>
      </c>
    </row>
    <row r="12" spans="1:7" x14ac:dyDescent="0.25">
      <c r="A12" t="s">
        <v>64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EThompson</v>
      </c>
      <c r="F12" s="1" t="str">
        <f>VLOOKUP(A12,Tasks!$A$2:$D$101,3,FALSE)</f>
        <v>Install the latest SQL service pack</v>
      </c>
      <c r="G12" s="1" t="str">
        <f>VLOOKUP($A12,Tasks!$A$2:$D$101,4,FALSE)</f>
        <v>Application</v>
      </c>
    </row>
    <row r="13" spans="1:7" x14ac:dyDescent="0.25">
      <c r="A13" t="s">
        <v>60</v>
      </c>
      <c r="B13" t="s">
        <v>116</v>
      </c>
      <c r="C13">
        <v>1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EThompson</v>
      </c>
      <c r="F13" s="1" t="str">
        <f>VLOOKUP(A13,Tasks!$A$2:$D$101,3,FALSE)</f>
        <v>Update the firmware on the client's servers - For  HP servers check for a model specific BIOS update that may have been released after the latest ISO/</v>
      </c>
      <c r="G13" s="1" t="str">
        <f>VLOOKUP($A13,Tasks!$A$2:$D$101,4,FALSE)</f>
        <v>System</v>
      </c>
    </row>
    <row r="14" spans="1:7" x14ac:dyDescent="0.25">
      <c r="A14" t="s">
        <v>47</v>
      </c>
      <c r="B14" t="s">
        <v>48</v>
      </c>
      <c r="C14">
        <v>1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EThompson</v>
      </c>
      <c r="F14" s="1" t="str">
        <f>VLOOKUP(A14,Tasks!$A$2:$D$101,3,FALSE)</f>
        <v>Update the firmware on the client's switches</v>
      </c>
      <c r="G14" s="1" t="str">
        <f>VLOOKUP($A14,Tasks!$A$2:$D$101,4,FALSE)</f>
        <v>Network</v>
      </c>
    </row>
    <row r="15" spans="1:7" x14ac:dyDescent="0.25">
      <c r="A15" t="s">
        <v>65</v>
      </c>
      <c r="B15" t="s">
        <v>48</v>
      </c>
      <c r="C15">
        <v>1</v>
      </c>
      <c r="D15" s="1">
        <f>_xlfn.IFNA(VLOOKUP(B15,'Freq Lookup'!$A$1:$B$6,2,FALSE)*C15, 0)</f>
        <v>1</v>
      </c>
      <c r="E15" s="1" t="str">
        <f ca="1">VLOOKUP(MID(CELL("filename",$A$1),FIND("]",CELL("filename",$A$1))+1,31),Clients!$A$2:$B$27,2,FALSE)</f>
        <v>EThompson</v>
      </c>
      <c r="F15" s="1" t="str">
        <f>VLOOKUP(A15,Tasks!$A$2:$D$101,3,FALSE)</f>
        <v>Update the firmware on the web controller of the client's UPS(s)</v>
      </c>
      <c r="G15" s="1" t="str">
        <f>VLOOKUP($A15,Tasks!$A$2:$D$101,4,FALSE)</f>
        <v>System</v>
      </c>
    </row>
    <row r="16" spans="1:7" x14ac:dyDescent="0.25">
      <c r="A16" t="s">
        <v>49</v>
      </c>
      <c r="B16" t="s">
        <v>48</v>
      </c>
      <c r="C16">
        <v>1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EThompson</v>
      </c>
      <c r="F16" s="1" t="str">
        <f>VLOOKUP(A16,Tasks!$A$2:$D$101,3,FALSE)</f>
        <v>Work with the account's vCIO or primary engineer to review the configuration of the client's Group policies. Ensure that the configuraiton is still optimal for the client's environment.</v>
      </c>
      <c r="G16" s="1" t="str">
        <f>VLOOKUP($A16,Tasks!$A$2:$D$101,4,FALSE)</f>
        <v>System</v>
      </c>
    </row>
    <row r="17" spans="1:7" x14ac:dyDescent="0.25">
      <c r="A17" s="1" t="s">
        <v>137</v>
      </c>
      <c r="B17" s="1" t="s">
        <v>51</v>
      </c>
      <c r="C17" s="1">
        <v>0.25</v>
      </c>
      <c r="D17" s="1">
        <f>_xlfn.IFNA(VLOOKUP(B17,'Freq Lookup'!$A$1:$B$6,2,FALSE)*C17, 0)</f>
        <v>13</v>
      </c>
      <c r="E17" s="1" t="str">
        <f ca="1">VLOOKUP(MID(CELL("filename",$A$1),FIND("]",CELL("filename",$A$1))+1,31),Clients!$A$2:$B$27,2,FALSE)</f>
        <v>EThompson</v>
      </c>
      <c r="F17" s="1" t="str">
        <f>VLOOKUP(A17,Tasks!$A$2:$D$101,3,FALSE)</f>
        <v>Review the cleint's Zerto replications for issues</v>
      </c>
      <c r="G17" s="1" t="str">
        <f>VLOOKUP($A17,Tasks!$A$2:$D$101,4,FALSE)</f>
        <v>System</v>
      </c>
    </row>
    <row r="18" spans="1:7" x14ac:dyDescent="0.25">
      <c r="A18" s="1" t="s">
        <v>107</v>
      </c>
      <c r="B18" s="1" t="s">
        <v>51</v>
      </c>
      <c r="C18" s="1">
        <v>0.25</v>
      </c>
      <c r="D18" s="1">
        <f>_xlfn.IFNA(VLOOKUP(B18,'Freq Lookup'!$A$1:$B$6,2,FALSE)*C18, 0)</f>
        <v>13</v>
      </c>
      <c r="E18" s="1" t="str">
        <f ca="1">VLOOKUP(MID(CELL("filename",$A$1),FIND("]",CELL("filename",$A$1))+1,31),Clients!$A$2:$B$27,2,FALSE)</f>
        <v>EThompson</v>
      </c>
      <c r="F18" s="1" t="str">
        <f>VLOOKUP(A18,Tasks!$A$2:$D$101,3,FALSE)</f>
        <v>Review the client's Barracuda backups for issues</v>
      </c>
      <c r="G18" s="1" t="str">
        <f>VLOOKUP($A18,Tasks!$A$2:$D$101,4,FALSE)</f>
        <v>System</v>
      </c>
    </row>
    <row r="19" spans="1:7" x14ac:dyDescent="0.25">
      <c r="A19" s="1" t="s">
        <v>70</v>
      </c>
      <c r="B19" s="1" t="s">
        <v>45</v>
      </c>
      <c r="C19" s="1">
        <v>4</v>
      </c>
      <c r="D19" s="1">
        <f>_xlfn.IFNA(VLOOKUP(B19,'Freq Lookup'!$A$1:$B$6,2,FALSE)*C19, 0)</f>
        <v>16</v>
      </c>
      <c r="E19" s="1" t="str">
        <f ca="1">VLOOKUP(MID(CELL("filename",$A$1),FIND("]",CELL("filename",$A$1))+1,31),Clients!$A$2:$B$27,2,FALSE)</f>
        <v>EThompson</v>
      </c>
      <c r="F19" s="1" t="str">
        <f>VLOOKUP(A19,Tasks!$A$2:$D$101,3,FALSE)</f>
        <v>Update the Zerto appliances (VRA) and management VMs (ZVM)</v>
      </c>
      <c r="G19" s="1" t="str">
        <f>VLOOKUP($A19,Tasks!$A$2:$D$101,4,FALSE)</f>
        <v>System</v>
      </c>
    </row>
    <row r="20" spans="1:7" x14ac:dyDescent="0.25">
      <c r="A20" s="1" t="s">
        <v>90</v>
      </c>
      <c r="B20" s="1" t="s">
        <v>45</v>
      </c>
      <c r="C20" s="1">
        <v>4</v>
      </c>
      <c r="D20" s="1">
        <f>_xlfn.IFNA(VLOOKUP(B20,'Freq Lookup'!$A$1:$B$6,2,FALSE)*C20, 0)</f>
        <v>16</v>
      </c>
      <c r="E20" s="1" t="str">
        <f ca="1">VLOOKUP(MID(CELL("filename",$A$1),FIND("]",CELL("filename",$A$1))+1,31),Clients!$A$2:$B$27,2,FALSE)</f>
        <v>EThompson</v>
      </c>
      <c r="F20" s="1" t="str">
        <f>VLOOKUP(A20,Tasks!$A$2:$D$101,3,FALSE)</f>
        <v>Update the client's Barracuda appliance and agents</v>
      </c>
      <c r="G20" s="1" t="str">
        <f>VLOOKUP($A20,Tasks!$A$2:$D$101,4,FALSE)</f>
        <v>System</v>
      </c>
    </row>
    <row r="21" spans="1:7" x14ac:dyDescent="0.25">
      <c r="A21" s="1" t="s">
        <v>76</v>
      </c>
      <c r="B21" t="s">
        <v>116</v>
      </c>
      <c r="C21" s="1">
        <v>4</v>
      </c>
      <c r="D21" s="1">
        <f>_xlfn.IFNA(VLOOKUP(B21,'Freq Lookup'!$A$1:$B$6,2,FALSE)*C21, 0)</f>
        <v>8</v>
      </c>
      <c r="E21" s="1" t="s">
        <v>77</v>
      </c>
      <c r="F21" s="1" t="str">
        <f>VLOOKUP(A21,Tasks!$A$2:$D$101,3,FALSE)</f>
        <v>Updatre the ASA's FMC and Firepower modules to a version that is compatible with the installed ASA software</v>
      </c>
      <c r="G21" s="1" t="str">
        <f>VLOOKUP($A21,Tasks!$A$2:$D$101,4,FALSE)</f>
        <v>Network</v>
      </c>
    </row>
    <row r="22" spans="1:7" x14ac:dyDescent="0.25">
      <c r="A22" s="1" t="s">
        <v>78</v>
      </c>
      <c r="B22" s="1" t="s">
        <v>45</v>
      </c>
      <c r="C22" s="1">
        <v>8</v>
      </c>
      <c r="D22" s="1">
        <f>_xlfn.IFNA(VLOOKUP(B22,'Freq Lookup'!$A$1:$B$6,2,FALSE)*C22, 0)</f>
        <v>32</v>
      </c>
      <c r="E22" t="s">
        <v>35</v>
      </c>
      <c r="F22" s="1" t="str">
        <f>VLOOKUP(A22,Tasks!$A$2:$D$101,3,FALSE)</f>
        <v>Before a DR failover test or execute the client's DR Test</v>
      </c>
      <c r="G22" s="1" t="str">
        <f>VLOOKUP($A22,Tasks!$A$2:$D$101,4,FALSE)</f>
        <v>System</v>
      </c>
    </row>
    <row r="23" spans="1:7" x14ac:dyDescent="0.25">
      <c r="A23" t="s">
        <v>83</v>
      </c>
      <c r="B23" t="s">
        <v>48</v>
      </c>
      <c r="C23">
        <v>2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EThompson</v>
      </c>
      <c r="F23" s="1" t="str">
        <f>VLOOKUP(A23,Tasks!$A$2:$D$101,3,FALSE)</f>
        <v>Perform an audit of the client's switch configuration for issues</v>
      </c>
      <c r="G23" s="1" t="str">
        <f>VLOOKUP($A23,Tasks!$A$2:$D$101,4,FALSE)</f>
        <v>Security</v>
      </c>
    </row>
    <row r="24" spans="1:7" x14ac:dyDescent="0.25">
      <c r="A24" t="s">
        <v>103</v>
      </c>
      <c r="B24" t="s">
        <v>41</v>
      </c>
      <c r="C24">
        <v>1</v>
      </c>
      <c r="D24" s="1">
        <f>_xlfn.IFNA(VLOOKUP(B24,'Freq Lookup'!$A$1:$B$6,2,FALSE)*C24, 0)</f>
        <v>12</v>
      </c>
      <c r="E24" s="1" t="str">
        <f ca="1">VLOOKUP(MID(CELL("filename",$A$1),FIND("]",CELL("filename",$A$1))+1,31),Clients!$A$2:$B$27,2,FALSE)</f>
        <v>EThompson</v>
      </c>
      <c r="F24" s="1" t="str">
        <f>VLOOKUP(A24,Tasks!$A$2:$D$101,3,FALSE)</f>
        <v>Utilizing Auvik, review the client's network for issues. Ensure all infrastructure devices are SNMP \ login integrated. Ensure that all devices classified appropraitely.</v>
      </c>
      <c r="G24" s="1" t="str">
        <f>VLOOKUP($A24,Tasks!$A$2:$D$101,4,FALSE)</f>
        <v>Network</v>
      </c>
    </row>
    <row r="25" spans="1:7" x14ac:dyDescent="0.25">
      <c r="A25" s="1" t="s">
        <v>93</v>
      </c>
      <c r="B25" t="s">
        <v>45</v>
      </c>
      <c r="C25" s="1">
        <v>0.5</v>
      </c>
      <c r="D25" s="1">
        <f>_xlfn.IFNA(VLOOKUP(B25,'Freq Lookup'!$A$1:$B$6,2,FALSE)*C25, 0)</f>
        <v>2</v>
      </c>
      <c r="E25" s="1" t="str">
        <f ca="1">VLOOKUP(MID(CELL("filename",$A$1),FIND("]",CELL("filename",$A$1))+1,31),Clients!$A$2:$B$27,2,FALSE)</f>
        <v>EThompson</v>
      </c>
      <c r="F25" s="1" t="str">
        <f>VLOOKUP(A25,Tasks!$A$2:$D$101,3,FALSE)</f>
        <v>Review the patch approval policies. Ensure all servers and workstations that are supposed to be automatically patched are (by being in the correct patch groups)</v>
      </c>
      <c r="G25" s="1" t="str">
        <f>VLOOKUP($A25,Tasks!$A$2:$D$101,4,FALSE)</f>
        <v>System</v>
      </c>
    </row>
    <row r="26" spans="1:7" x14ac:dyDescent="0.25">
      <c r="A26" t="s">
        <v>66</v>
      </c>
      <c r="B26" t="s">
        <v>45</v>
      </c>
      <c r="C26">
        <v>1</v>
      </c>
      <c r="D26" s="1">
        <f>_xlfn.IFNA(VLOOKUP(B26,'Freq Lookup'!$A$1:$B$6,2,FALSE)*C26, 0)</f>
        <v>4</v>
      </c>
      <c r="E26" s="1" t="str">
        <f ca="1">VLOOKUP(MID(CELL("filename",$A$1),FIND("]",CELL("filename",$A$1))+1,31),Clients!$A$2:$B$27,2,FALSE)</f>
        <v>EThompson</v>
      </c>
      <c r="F26" s="1" t="str">
        <f>VLOOKUP(A26,Tasks!$A$2:$D$101,3,FALSE)</f>
        <v>Update the firmware on the client's access points</v>
      </c>
      <c r="G26" s="1" t="str">
        <f>VLOOKUP($A26,Tasks!$A$2:$D$101,4,FALSE)</f>
        <v>Network</v>
      </c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'N:\Engineering\ITSP BPSA ESM\BPA - Best Practice Administration\BPA 5.0\Budget Calculator\[FEC BPA Proposal 09202019 DRAFT 1.xlsx]Frequnecy vlookup'!#REF!</xm:f>
          </x14:formula1>
          <xm:sqref>B2:B16</xm:sqref>
        </x14:dataValidation>
        <x14:dataValidation type="list" allowBlank="1" showInputMessage="1" showErrorMessage="1">
          <x14:formula1>
            <xm:f>'N:\Engineering\ITSP BPSA ESM\BPA - Best Practice Administration\BPA 5.0\Budget Calculator\[USF BPA Proposal 08302019 DRAFT 1.xlsx]Frequnecy vlookup'!#REF!</xm:f>
          </x14:formula1>
          <xm:sqref>B21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29"/>
  <sheetViews>
    <sheetView workbookViewId="0">
      <selection activeCell="A23" sqref="A23:G23"/>
    </sheetView>
  </sheetViews>
  <sheetFormatPr defaultRowHeight="15" x14ac:dyDescent="0.25"/>
  <cols>
    <col min="1" max="1" width="54.28515625" bestFit="1" customWidth="1"/>
    <col min="2" max="2" width="12.42578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s="1" t="s">
        <v>106</v>
      </c>
      <c r="B2" s="1" t="s">
        <v>51</v>
      </c>
      <c r="C2" s="1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s="1" t="s">
        <v>121</v>
      </c>
      <c r="B3" s="1" t="s">
        <v>41</v>
      </c>
      <c r="C3" s="1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s="1" t="s">
        <v>42</v>
      </c>
      <c r="B4" s="1" t="s">
        <v>41</v>
      </c>
      <c r="C4" s="1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s="1" t="s">
        <v>109</v>
      </c>
      <c r="B5" s="1" t="s">
        <v>41</v>
      </c>
      <c r="C5" s="1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s="1" t="s">
        <v>63</v>
      </c>
      <c r="B6" s="1" t="s">
        <v>45</v>
      </c>
      <c r="C6" s="1">
        <v>1</v>
      </c>
      <c r="D6" s="1">
        <f>_xlfn.IFNA(VLOOKUP(B6,'Freq Lookup'!$A$1:$B$6,2,FALSE)*C6, 0)</f>
        <v>4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Update vCenter to the latest patch for the currently installed version</v>
      </c>
      <c r="G6" s="1" t="str">
        <f>VLOOKUP($A6,Tasks!$A$2:$D$101,4,FALSE)</f>
        <v>System</v>
      </c>
    </row>
    <row r="7" spans="1:7" x14ac:dyDescent="0.25">
      <c r="A7" s="1" t="s">
        <v>55</v>
      </c>
      <c r="B7" s="1" t="s">
        <v>45</v>
      </c>
      <c r="C7" s="1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s="1" t="s">
        <v>56</v>
      </c>
      <c r="B8" s="1" t="s">
        <v>45</v>
      </c>
      <c r="C8" s="1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Perform a file level restore utilizing the client's Veeam backups</v>
      </c>
      <c r="G8" s="1" t="str">
        <f>VLOOKUP($A8,Tasks!$A$2:$D$101,4,FALSE)</f>
        <v>System</v>
      </c>
    </row>
    <row r="9" spans="1:7" x14ac:dyDescent="0.25">
      <c r="A9" s="1" t="s">
        <v>57</v>
      </c>
      <c r="B9" s="1" t="s">
        <v>45</v>
      </c>
      <c r="C9" s="1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s="1" t="s">
        <v>44</v>
      </c>
      <c r="B10" s="1" t="s">
        <v>45</v>
      </c>
      <c r="C10" s="1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s="1" t="s">
        <v>58</v>
      </c>
      <c r="B11" s="1" t="s">
        <v>45</v>
      </c>
      <c r="C11" s="1">
        <v>2</v>
      </c>
      <c r="D11" s="1">
        <f>_xlfn.IFNA(VLOOKUP(B11,'Freq Lookup'!$A$1:$B$6,2,FALSE)*C11, 0)</f>
        <v>8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Install the latest ESXi patch for the currently installed version</v>
      </c>
      <c r="G11" s="1" t="str">
        <f>VLOOKUP($A11,Tasks!$A$2:$D$101,4,FALSE)</f>
        <v>System</v>
      </c>
    </row>
    <row r="12" spans="1:7" x14ac:dyDescent="0.25">
      <c r="A12" s="1" t="s">
        <v>46</v>
      </c>
      <c r="B12" s="1" t="s">
        <v>45</v>
      </c>
      <c r="C12" s="1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reccommended firewall firmware</v>
      </c>
      <c r="G12" s="1" t="str">
        <f>VLOOKUP($A12,Tasks!$A$2:$D$101,4,FALSE)</f>
        <v>Network</v>
      </c>
    </row>
    <row r="13" spans="1:7" x14ac:dyDescent="0.25">
      <c r="A13" s="1" t="s">
        <v>64</v>
      </c>
      <c r="B13" s="1" t="s">
        <v>45</v>
      </c>
      <c r="C13" s="1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latest SQL service pack</v>
      </c>
      <c r="G13" s="1" t="str">
        <f>VLOOKUP($A13,Tasks!$A$2:$D$101,4,FALSE)</f>
        <v>Application</v>
      </c>
    </row>
    <row r="14" spans="1:7" x14ac:dyDescent="0.25">
      <c r="A14" s="1" t="s">
        <v>59</v>
      </c>
      <c r="B14" s="1" t="s">
        <v>116</v>
      </c>
      <c r="C14" s="1">
        <v>0.5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Work with the account's vCIO or primary engineer to review the configuration of the client's backup jobs. Ensure that the configuraiton is still optimal for the client's environment</v>
      </c>
      <c r="G14" s="1" t="str">
        <f>VLOOKUP($A14,Tasks!$A$2:$D$101,4,FALSE)</f>
        <v>System</v>
      </c>
    </row>
    <row r="15" spans="1:7" x14ac:dyDescent="0.25">
      <c r="A15" s="1" t="s">
        <v>60</v>
      </c>
      <c r="B15" s="1" t="s">
        <v>116</v>
      </c>
      <c r="C15" s="1">
        <v>1</v>
      </c>
      <c r="D15" s="1">
        <f>_xlfn.IFNA(VLOOKUP(B15,'Freq Lookup'!$A$1:$B$6,2,FALSE)*C15, 0)</f>
        <v>2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s="1" t="s">
        <v>47</v>
      </c>
      <c r="B16" s="1" t="s">
        <v>48</v>
      </c>
      <c r="C16" s="1">
        <v>2</v>
      </c>
      <c r="D16" s="1">
        <f>_xlfn.IFNA(VLOOKUP(B16,'Freq Lookup'!$A$1:$B$6,2,FALSE)*C16, 0)</f>
        <v>2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Update the firmware on the client's switches</v>
      </c>
      <c r="G16" s="1" t="str">
        <f>VLOOKUP($A16,Tasks!$A$2:$D$101,4,FALSE)</f>
        <v>Network</v>
      </c>
    </row>
    <row r="17" spans="1:7" x14ac:dyDescent="0.25">
      <c r="A17" s="1" t="s">
        <v>65</v>
      </c>
      <c r="B17" s="1" t="s">
        <v>48</v>
      </c>
      <c r="C17" s="1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web controller of the client's UPS(s)</v>
      </c>
      <c r="G17" s="1" t="str">
        <f>VLOOKUP($A17,Tasks!$A$2:$D$101,4,FALSE)</f>
        <v>System</v>
      </c>
    </row>
    <row r="18" spans="1:7" x14ac:dyDescent="0.25">
      <c r="A18" s="1" t="s">
        <v>49</v>
      </c>
      <c r="B18" s="1" t="s">
        <v>48</v>
      </c>
      <c r="C18" s="1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s="1" t="s">
        <v>62</v>
      </c>
      <c r="B19" s="1" t="s">
        <v>45</v>
      </c>
      <c r="C19" s="1">
        <v>1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Install the latest version of Veeam Backup and Replication</v>
      </c>
      <c r="G19" s="1" t="str">
        <f>VLOOKUP($A19,Tasks!$A$2:$D$101,4,FALSE)</f>
        <v>System</v>
      </c>
    </row>
    <row r="20" spans="1:7" x14ac:dyDescent="0.25">
      <c r="A20" s="1" t="s">
        <v>76</v>
      </c>
      <c r="B20" t="s">
        <v>116</v>
      </c>
      <c r="C20" s="1">
        <v>4</v>
      </c>
      <c r="D20" s="1">
        <f>_xlfn.IFNA(VLOOKUP(B20,'Freq Lookup'!$A$1:$B$6,2,FALSE)*C20, 0)</f>
        <v>8</v>
      </c>
      <c r="E20" s="1" t="s">
        <v>77</v>
      </c>
      <c r="F20" s="1" t="str">
        <f>VLOOKUP(A20,Tasks!$A$2:$D$101,3,FALSE)</f>
        <v>Updatre the ASA's FMC and Firepower modules to a version that is compatible with the installed ASA software</v>
      </c>
      <c r="G20" s="1" t="str">
        <f>VLOOKUP($A20,Tasks!$A$2:$D$101,4,FALSE)</f>
        <v>Network</v>
      </c>
    </row>
    <row r="21" spans="1:7" x14ac:dyDescent="0.25">
      <c r="A21" t="s">
        <v>83</v>
      </c>
      <c r="B21" t="s">
        <v>48</v>
      </c>
      <c r="C21">
        <v>1.5</v>
      </c>
      <c r="D21" s="1">
        <f>_xlfn.IFNA(VLOOKUP(B21,'Freq Lookup'!$A$1:$B$6,2,FALSE)*C21, 0)</f>
        <v>1.5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Perform an audit of the client's switch configuration for issues</v>
      </c>
      <c r="G21" s="1" t="str">
        <f>VLOOKUP($A21,Tasks!$A$2:$D$101,4,FALSE)</f>
        <v>Security</v>
      </c>
    </row>
    <row r="22" spans="1:7" x14ac:dyDescent="0.25">
      <c r="A22" t="s">
        <v>103</v>
      </c>
      <c r="B22" t="s">
        <v>41</v>
      </c>
      <c r="C22">
        <v>1</v>
      </c>
      <c r="D22" s="1">
        <f>_xlfn.IFNA(VLOOKUP(B22,'Freq Lookup'!$A$1:$B$6,2,FALSE)*C22, 0)</f>
        <v>12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Utilizing Auvik, review the client's network for issues. Ensure all infrastructure devices are SNMP \ login integrated. Ensure that all devices classified appropraitely.</v>
      </c>
      <c r="G22" s="1" t="str">
        <f>VLOOKUP($A22,Tasks!$A$2:$D$101,4,FALSE)</f>
        <v>Network</v>
      </c>
    </row>
    <row r="23" spans="1:7" x14ac:dyDescent="0.25">
      <c r="A23" s="1" t="s">
        <v>93</v>
      </c>
      <c r="B23" t="s">
        <v>45</v>
      </c>
      <c r="C23" s="1">
        <v>0.5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Review the patch approval policies. Ensure all servers and workstations that are supposed to be automatically patched are (by being in the correct patch groups)</v>
      </c>
      <c r="G23" s="1" t="str">
        <f>VLOOKUP($A23,Tasks!$A$2:$D$101,4,FALSE)</f>
        <v>System</v>
      </c>
    </row>
    <row r="24" spans="1:7" x14ac:dyDescent="0.25">
      <c r="A24" t="s">
        <v>66</v>
      </c>
      <c r="B24" t="s">
        <v>45</v>
      </c>
      <c r="C24">
        <v>1</v>
      </c>
      <c r="D24" s="1">
        <f>_xlfn.IFNA(VLOOKUP(B24,'Freq Lookup'!$A$1:$B$6,2,FALSE)*C24, 0)</f>
        <v>4</v>
      </c>
      <c r="E24" s="1" t="str">
        <f ca="1">VLOOKUP(MID(CELL("filename",$A$1),FIND("]",CELL("filename",$A$1))+1,31),Clients!$A$2:$B$27,2,FALSE)</f>
        <v>JStraub</v>
      </c>
      <c r="F24" s="1" t="str">
        <f>VLOOKUP(A24,Tasks!$A$2:$D$101,3,FALSE)</f>
        <v>Update the firmware on the client's access points</v>
      </c>
      <c r="G24" s="1" t="str">
        <f>VLOOKUP($A24,Tasks!$A$2:$D$101,4,FALSE)</f>
        <v>Network</v>
      </c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Calculator\[USF BPA Proposal 08302019 DRAFT 1.xlsx]Frequnecy vlookup'!#REF!</xm:f>
          </x14:formula1>
          <xm:sqref>B20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30"/>
  <sheetViews>
    <sheetView workbookViewId="0">
      <selection activeCell="A9" sqref="A9:G9"/>
    </sheetView>
  </sheetViews>
  <sheetFormatPr defaultRowHeight="15" x14ac:dyDescent="0.25"/>
  <cols>
    <col min="1" max="1" width="39.1406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46</v>
      </c>
      <c r="B2" t="s">
        <v>45</v>
      </c>
      <c r="C2">
        <v>0.5</v>
      </c>
      <c r="D2" s="1">
        <f>_xlfn.IFNA(VLOOKUP(B2,'Freq Lookup'!$A$1:$B$6,2,FALSE)*C2, 0)</f>
        <v>2</v>
      </c>
      <c r="E2" s="1" t="str">
        <f ca="1">VLOOKUP(MID(CELL("filename",$A$1),FIND("]",CELL("filename",$A$1))+1,31),Clients!$A$2:$B$27,2,FALSE)</f>
        <v>Bkew</v>
      </c>
      <c r="F2" s="1" t="str">
        <f>VLOOKUP(A2,Tasks!$A$2:$D$101,3,FALSE)</f>
        <v>Install the reccommended firewall firmware</v>
      </c>
      <c r="G2" s="1" t="str">
        <f>VLOOKUP($A2,Tasks!$A$2:$D$101,4,FALSE)</f>
        <v>Network</v>
      </c>
    </row>
    <row r="3" spans="1:7" x14ac:dyDescent="0.25">
      <c r="A3" t="s">
        <v>47</v>
      </c>
      <c r="B3" t="s">
        <v>48</v>
      </c>
      <c r="C3">
        <v>1</v>
      </c>
      <c r="D3" s="1">
        <f>_xlfn.IFNA(VLOOKUP(B3,'Freq Lookup'!$A$1:$B$6,2,FALSE)*C3, 0)</f>
        <v>1</v>
      </c>
      <c r="E3" s="1" t="str">
        <f ca="1">VLOOKUP(MID(CELL("filename",$A$1),FIND("]",CELL("filename",$A$1))+1,31),Clients!$A$2:$B$27,2,FALSE)</f>
        <v>Bkew</v>
      </c>
      <c r="F3" s="1" t="str">
        <f>VLOOKUP(A3,Tasks!$A$2:$D$101,3,FALSE)</f>
        <v>Update the firmware on the client's switches</v>
      </c>
      <c r="G3" s="1" t="str">
        <f>VLOOKUP($A3,Tasks!$A$2:$D$101,4,FALSE)</f>
        <v>Network</v>
      </c>
    </row>
    <row r="4" spans="1:7" x14ac:dyDescent="0.25">
      <c r="A4" t="s">
        <v>65</v>
      </c>
      <c r="B4" t="s">
        <v>48</v>
      </c>
      <c r="C4">
        <v>1</v>
      </c>
      <c r="D4" s="1">
        <f>_xlfn.IFNA(VLOOKUP(B4,'Freq Lookup'!$A$1:$B$6,2,FALSE)*C4, 0)</f>
        <v>1</v>
      </c>
      <c r="E4" s="1" t="str">
        <f ca="1">VLOOKUP(MID(CELL("filename",$A$1),FIND("]",CELL("filename",$A$1))+1,31),Clients!$A$2:$B$27,2,FALSE)</f>
        <v>Bkew</v>
      </c>
      <c r="F4" s="1" t="str">
        <f>VLOOKUP(A4,Tasks!$A$2:$D$101,3,FALSE)</f>
        <v>Update the firmware on the web controller of the client's UPS(s)</v>
      </c>
      <c r="G4" s="1" t="str">
        <f>VLOOKUP($A4,Tasks!$A$2:$D$101,4,FALSE)</f>
        <v>System</v>
      </c>
    </row>
    <row r="5" spans="1:7" x14ac:dyDescent="0.25">
      <c r="A5" s="1" t="s">
        <v>80</v>
      </c>
      <c r="B5" s="1" t="s">
        <v>41</v>
      </c>
      <c r="C5" s="1">
        <v>1</v>
      </c>
      <c r="D5" s="1">
        <f>_xlfn.IFNA(VLOOKUP(B5,'Freq Lookup'!$A$1:$B$6,2,FALSE)*C5, 0)</f>
        <v>12</v>
      </c>
      <c r="E5" s="1" t="str">
        <f ca="1">VLOOKUP(MID(CELL("filename",$A$1),FIND("]",CELL("filename",$A$1))+1,31),Clients!$A$2:$B$27,2,FALSE)</f>
        <v>Bkew</v>
      </c>
      <c r="F5" s="1" t="str">
        <f>VLOOKUP(A5,Tasks!$A$2:$D$101,3,FALSE)</f>
        <v>Review the client's workstations for disk space issues</v>
      </c>
      <c r="G5" s="1" t="str">
        <f>VLOOKUP($A5,Tasks!$A$2:$D$101,4,FALSE)</f>
        <v>Desktop</v>
      </c>
    </row>
    <row r="6" spans="1:7" x14ac:dyDescent="0.25">
      <c r="A6" s="1" t="s">
        <v>81</v>
      </c>
      <c r="B6" s="1" t="s">
        <v>41</v>
      </c>
      <c r="C6" s="1">
        <v>1</v>
      </c>
      <c r="D6" s="1">
        <f>_xlfn.IFNA(VLOOKUP(B6,'Freq Lookup'!$A$1:$B$6,2,FALSE)*C6, 0)</f>
        <v>12</v>
      </c>
      <c r="E6" s="1" t="str">
        <f ca="1">VLOOKUP(MID(CELL("filename",$A$1),FIND("]",CELL("filename",$A$1))+1,31),Clients!$A$2:$B$27,2,FALSE)</f>
        <v>Bkew</v>
      </c>
      <c r="F6" s="1" t="str">
        <f>VLOOKUP(A6,Tasks!$A$2:$D$101,3,FALSE)</f>
        <v>Review the state of Webroot Agents on the client's systems and update any that have not automatically been updates</v>
      </c>
      <c r="G6" s="1" t="str">
        <f>VLOOKUP($A6,Tasks!$A$2:$D$101,4,FALSE)</f>
        <v>Security</v>
      </c>
    </row>
    <row r="7" spans="1:7" x14ac:dyDescent="0.25">
      <c r="A7" s="1" t="s">
        <v>82</v>
      </c>
      <c r="B7" s="1" t="s">
        <v>41</v>
      </c>
      <c r="C7" s="1">
        <v>1</v>
      </c>
      <c r="D7" s="1">
        <f>_xlfn.IFNA(VLOOKUP(B7,'Freq Lookup'!$A$1:$B$6,2,FALSE)*C7, 0)</f>
        <v>12</v>
      </c>
      <c r="E7" s="1" t="str">
        <f ca="1">VLOOKUP(MID(CELL("filename",$A$1),FIND("]",CELL("filename",$A$1))+1,31),Clients!$A$2:$B$27,2,FALSE)</f>
        <v>Bkew</v>
      </c>
      <c r="F7" s="1" t="str">
        <f>VLOOKUP(A7,Tasks!$A$2:$D$101,3,FALSE)</f>
        <v>Identify any issues with workstations that may be preventing patches from being installed</v>
      </c>
      <c r="G7" s="1" t="str">
        <f>VLOOKUP($A7,Tasks!$A$2:$D$101,4,FALSE)</f>
        <v>Desktop</v>
      </c>
    </row>
    <row r="8" spans="1:7" x14ac:dyDescent="0.25">
      <c r="A8" t="s">
        <v>103</v>
      </c>
      <c r="B8" t="s">
        <v>41</v>
      </c>
      <c r="C8">
        <v>1</v>
      </c>
      <c r="D8" s="1">
        <f>_xlfn.IFNA(VLOOKUP(B8,'Freq Lookup'!$A$1:$B$6,2,FALSE)*C8, 0)</f>
        <v>12</v>
      </c>
      <c r="E8" s="1" t="str">
        <f ca="1">VLOOKUP(MID(CELL("filename",$A$1),FIND("]",CELL("filename",$A$1))+1,31),Clients!$A$2:$B$27,2,FALSE)</f>
        <v>Bkew</v>
      </c>
      <c r="F8" s="1" t="str">
        <f>VLOOKUP(A8,Tasks!$A$2:$D$101,3,FALSE)</f>
        <v>Utilizing Auvik, review the client's network for issues. Ensure all infrastructure devices are SNMP \ login integrated. Ensure that all devices classified appropraitely.</v>
      </c>
      <c r="G8" s="1" t="str">
        <f>VLOOKUP($A8,Tasks!$A$2:$D$101,4,FALSE)</f>
        <v>Network</v>
      </c>
    </row>
    <row r="9" spans="1:7" x14ac:dyDescent="0.25">
      <c r="A9" s="1" t="s">
        <v>93</v>
      </c>
      <c r="B9" t="s">
        <v>45</v>
      </c>
      <c r="C9" s="1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Bkew</v>
      </c>
      <c r="F9" s="1" t="str">
        <f>VLOOKUP(A9,Tasks!$A$2:$D$101,3,FALSE)</f>
        <v>Review the patch approval policies. Ensure all servers and workstations that are supposed to be automatically patched are (by being in the correct patch groups)</v>
      </c>
      <c r="G9" s="1" t="str">
        <f>VLOOKUP($A9,Tasks!$A$2:$D$101,4,FALSE)</f>
        <v>System</v>
      </c>
    </row>
    <row r="10" spans="1:7" x14ac:dyDescent="0.25">
      <c r="A10" t="s">
        <v>66</v>
      </c>
      <c r="B10" t="s">
        <v>45</v>
      </c>
      <c r="C10">
        <v>1</v>
      </c>
      <c r="D10" s="1">
        <f>_xlfn.IFNA(VLOOKUP(B10,'Freq Lookup'!$A$1:$B$6,2,FALSE)*C10, 0)</f>
        <v>4</v>
      </c>
      <c r="E10" s="1" t="str">
        <f ca="1">VLOOKUP(MID(CELL("filename",$A$1),FIND("]",CELL("filename",$A$1))+1,31),Clients!$A$2:$B$27,2,FALSE)</f>
        <v>Bkew</v>
      </c>
      <c r="F10" s="1" t="str">
        <f>VLOOKUP(A10,Tasks!$A$2:$D$101,3,FALSE)</f>
        <v>Update the firmware on the client's access points</v>
      </c>
      <c r="G10" s="1" t="str">
        <f>VLOOKUP($A10,Tasks!$A$2:$D$101,4,FALSE)</f>
        <v>Network</v>
      </c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Calculator\[JGR BPA Proposal Template 09092019 DRAFT 1.xlsx]Frequnecy vlookup'!#REF!</xm:f>
          </x14:formula1>
          <xm:sqref>B2:B4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B9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36"/>
  <sheetViews>
    <sheetView workbookViewId="0">
      <selection activeCell="A21" sqref="A21:G21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104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JPhannenstill</v>
      </c>
      <c r="F2" s="1" t="str">
        <f>VLOOKUP(A2,Tasks!$A$2:$D$101,3,FALSE)</f>
        <v>Review the client's Azure backups for issues.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JPhannenstill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JPhannenstill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JPhannenstill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68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JPhannenstill</v>
      </c>
      <c r="F6" s="1" t="str">
        <f>VLOOKUP(A6,Tasks!$A$2:$D$101,3,FALSE)</f>
        <v>Review the Azure portal for issues.</v>
      </c>
      <c r="G6" s="1" t="str">
        <f>VLOOKUP($A6,Tasks!$A$2:$D$101,4,FALSE)</f>
        <v>Cloud</v>
      </c>
    </row>
    <row r="7" spans="1:7" x14ac:dyDescent="0.25">
      <c r="A7" t="s">
        <v>109</v>
      </c>
      <c r="B7" t="s">
        <v>41</v>
      </c>
      <c r="C7">
        <v>0.5</v>
      </c>
      <c r="D7" s="1">
        <f>_xlfn.IFNA(VLOOKUP(B7,'Freq Lookup'!$A$1:$B$6,2,FALSE)*C7, 0)</f>
        <v>6</v>
      </c>
      <c r="E7" s="1" t="str">
        <f ca="1">VLOOKUP(MID(CELL("filename",$A$1),FIND("]",CELL("filename",$A$1))+1,31),Clients!$A$2:$B$27,2,FALSE)</f>
        <v>JPhannenstill</v>
      </c>
      <c r="F7" s="1" t="str">
        <f>VLOOKUP(A7,Tasks!$A$2:$D$101,3,FALSE)</f>
        <v>Review the client's windows server application and security logs for standout issues</v>
      </c>
      <c r="G7" s="1" t="str">
        <f>VLOOKUP($A7,Tasks!$A$2:$D$101,4,FALSE)</f>
        <v>System</v>
      </c>
    </row>
    <row r="8" spans="1:7" x14ac:dyDescent="0.25">
      <c r="A8" t="s">
        <v>63</v>
      </c>
      <c r="B8" t="s">
        <v>45</v>
      </c>
      <c r="C8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JPhannenstill</v>
      </c>
      <c r="F8" s="1" t="str">
        <f>VLOOKUP(A8,Tasks!$A$2:$D$101,3,FALSE)</f>
        <v>Update vCenter to the latest patch for the currently installed version</v>
      </c>
      <c r="G8" s="1" t="str">
        <f>VLOOKUP($A8,Tasks!$A$2:$D$101,4,FALSE)</f>
        <v>System</v>
      </c>
    </row>
    <row r="9" spans="1:7" x14ac:dyDescent="0.25">
      <c r="A9" t="s">
        <v>66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JPhannenstill</v>
      </c>
      <c r="F9" s="1" t="str">
        <f>VLOOKUP(A9,Tasks!$A$2:$D$101,3,FALSE)</f>
        <v>Update the firmware on the client's access points</v>
      </c>
      <c r="G9" s="1" t="str">
        <f>VLOOKUP($A9,Tasks!$A$2:$D$101,4,FALSE)</f>
        <v>Network</v>
      </c>
    </row>
    <row r="10" spans="1:7" x14ac:dyDescent="0.25">
      <c r="A10" t="s">
        <v>55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JPhannenstill</v>
      </c>
      <c r="F10" s="1" t="str">
        <f>VLOOKUP(A10,Tasks!$A$2:$D$101,3,FALSE)</f>
        <v>Take a backup of the hypervisor configuration and store the data in ITG, attach to the appropriate client device</v>
      </c>
      <c r="G10" s="1" t="str">
        <f>VLOOKUP($A10,Tasks!$A$2:$D$101,4,FALSE)</f>
        <v>System</v>
      </c>
    </row>
    <row r="11" spans="1:7" x14ac:dyDescent="0.25">
      <c r="A11" t="s">
        <v>57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JPhannenstill</v>
      </c>
      <c r="F11" s="1" t="str">
        <f>VLOOKUP(A11,Tasks!$A$2:$D$101,3,FALSE)</f>
        <v>Update the iLO firmware on the cleint's servers</v>
      </c>
      <c r="G11" s="1" t="str">
        <f>VLOOKUP($A11,Tasks!$A$2:$D$101,4,FALSE)</f>
        <v>System</v>
      </c>
    </row>
    <row r="12" spans="1:7" x14ac:dyDescent="0.25">
      <c r="A12" t="s">
        <v>44</v>
      </c>
      <c r="B12" t="s">
        <v>45</v>
      </c>
      <c r="C12">
        <v>0.25</v>
      </c>
      <c r="D12" s="1">
        <f>_xlfn.IFNA(VLOOKUP(B12,'Freq Lookup'!$A$1:$B$6,2,FALSE)*C12, 0)</f>
        <v>1</v>
      </c>
      <c r="E12" s="1" t="str">
        <f ca="1">VLOOKUP(MID(CELL("filename",$A$1),FIND("]",CELL("filename",$A$1))+1,31),Clients!$A$2:$B$27,2,FALSE)</f>
        <v>JPhannenstill</v>
      </c>
      <c r="F12" s="1" t="str">
        <f>VLOOKUP(A12,Tasks!$A$2:$D$101,3,FALSE)</f>
        <v>Update the firmware on the client's NAS device(s)</v>
      </c>
      <c r="G12" s="1" t="str">
        <f>VLOOKUP($A12,Tasks!$A$2:$D$101,4,FALSE)</f>
        <v>Storage</v>
      </c>
    </row>
    <row r="13" spans="1:7" x14ac:dyDescent="0.25">
      <c r="A13" t="s">
        <v>58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JPhannenstill</v>
      </c>
      <c r="F13" s="1" t="str">
        <f>VLOOKUP(A13,Tasks!$A$2:$D$101,3,FALSE)</f>
        <v>Install the latest ESXi patch for the currently installed version</v>
      </c>
      <c r="G13" s="1" t="str">
        <f>VLOOKUP($A13,Tasks!$A$2:$D$101,4,FALSE)</f>
        <v>System</v>
      </c>
    </row>
    <row r="14" spans="1:7" x14ac:dyDescent="0.25">
      <c r="A14" t="s">
        <v>46</v>
      </c>
      <c r="B14" t="s">
        <v>45</v>
      </c>
      <c r="C14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JPhannenstill</v>
      </c>
      <c r="F14" s="1" t="str">
        <f>VLOOKUP(A14,Tasks!$A$2:$D$101,3,FALSE)</f>
        <v>Install the reccommended firewall firmware</v>
      </c>
      <c r="G14" s="1" t="str">
        <f>VLOOKUP($A14,Tasks!$A$2:$D$101,4,FALSE)</f>
        <v>Network</v>
      </c>
    </row>
    <row r="15" spans="1:7" x14ac:dyDescent="0.25">
      <c r="A15" t="s">
        <v>60</v>
      </c>
      <c r="B15" t="s">
        <v>116</v>
      </c>
      <c r="C15">
        <v>1</v>
      </c>
      <c r="D15" s="1">
        <f>_xlfn.IFNA(VLOOKUP(B15,'Freq Lookup'!$A$1:$B$6,2,FALSE)*C15, 0)</f>
        <v>2</v>
      </c>
      <c r="E15" s="1" t="str">
        <f ca="1">VLOOKUP(MID(CELL("filename",$A$1),FIND("]",CELL("filename",$A$1))+1,31),Clients!$A$2:$B$27,2,FALSE)</f>
        <v>JPhannenstill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t="s">
        <v>47</v>
      </c>
      <c r="B16" t="s">
        <v>48</v>
      </c>
      <c r="C16">
        <v>1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JPhannenstill</v>
      </c>
      <c r="F16" s="1" t="str">
        <f>VLOOKUP(A16,Tasks!$A$2:$D$101,3,FALSE)</f>
        <v>Update the firmware on the client's switches</v>
      </c>
      <c r="G16" s="1" t="str">
        <f>VLOOKUP($A16,Tasks!$A$2:$D$101,4,FALSE)</f>
        <v>Network</v>
      </c>
    </row>
    <row r="17" spans="1:7" x14ac:dyDescent="0.25">
      <c r="A17" t="s">
        <v>65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JPhannenstill</v>
      </c>
      <c r="F17" s="1" t="str">
        <f>VLOOKUP(A17,Tasks!$A$2:$D$101,3,FALSE)</f>
        <v>Update the firmware on the web controller of the client's UPS(s)</v>
      </c>
      <c r="G17" s="1" t="str">
        <f>VLOOKUP($A17,Tasks!$A$2:$D$101,4,FALSE)</f>
        <v>System</v>
      </c>
    </row>
    <row r="18" spans="1:7" x14ac:dyDescent="0.25">
      <c r="A18" t="s">
        <v>49</v>
      </c>
      <c r="B18" t="s">
        <v>48</v>
      </c>
      <c r="C18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JPhannenstill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t="s">
        <v>83</v>
      </c>
      <c r="B19" t="s">
        <v>48</v>
      </c>
      <c r="C19">
        <v>1.5</v>
      </c>
      <c r="D19" s="1">
        <f>_xlfn.IFNA(VLOOKUP(B19,'Freq Lookup'!$A$1:$B$6,2,FALSE)*C19, 0)</f>
        <v>1.5</v>
      </c>
      <c r="E19" s="1" t="str">
        <f ca="1">VLOOKUP(MID(CELL("filename",$A$1),FIND("]",CELL("filename",$A$1))+1,31),Clients!$A$2:$B$27,2,FALSE)</f>
        <v>JPhannenstill</v>
      </c>
      <c r="F19" s="1" t="str">
        <f>VLOOKUP(A19,Tasks!$A$2:$D$101,3,FALSE)</f>
        <v>Perform an audit of the client's switch configuration for issues</v>
      </c>
      <c r="G19" s="1" t="str">
        <f>VLOOKUP($A19,Tasks!$A$2:$D$101,4,FALSE)</f>
        <v>Security</v>
      </c>
    </row>
    <row r="20" spans="1:7" x14ac:dyDescent="0.25">
      <c r="A20" t="s">
        <v>103</v>
      </c>
      <c r="B20" t="s">
        <v>41</v>
      </c>
      <c r="C20">
        <v>1</v>
      </c>
      <c r="D20" s="1">
        <f>_xlfn.IFNA(VLOOKUP(B20,'Freq Lookup'!$A$1:$B$6,2,FALSE)*C20, 0)</f>
        <v>12</v>
      </c>
      <c r="E20" s="1" t="str">
        <f ca="1">VLOOKUP(MID(CELL("filename",$A$1),FIND("]",CELL("filename",$A$1))+1,31),Clients!$A$2:$B$27,2,FALSE)</f>
        <v>JPhannenstill</v>
      </c>
      <c r="F20" s="1" t="str">
        <f>VLOOKUP(A20,Tasks!$A$2:$D$101,3,FALSE)</f>
        <v>Utilizing Auvik, review the client's network for issues. Ensure all infrastructure devices are SNMP \ login integrated. Ensure that all devices classified appropraitely.</v>
      </c>
      <c r="G20" s="1" t="str">
        <f>VLOOKUP($A20,Tasks!$A$2:$D$101,4,FALSE)</f>
        <v>Network</v>
      </c>
    </row>
    <row r="21" spans="1:7" x14ac:dyDescent="0.25">
      <c r="A21" s="1" t="s">
        <v>93</v>
      </c>
      <c r="B21" t="s">
        <v>45</v>
      </c>
      <c r="C21" s="1">
        <v>0.5</v>
      </c>
      <c r="D21" s="1">
        <f>_xlfn.IFNA(VLOOKUP(B21,'Freq Lookup'!$A$1:$B$6,2,FALSE)*C21, 0)</f>
        <v>2</v>
      </c>
      <c r="E21" s="1" t="str">
        <f ca="1">VLOOKUP(MID(CELL("filename",$A$1),FIND("]",CELL("filename",$A$1))+1,31),Clients!$A$2:$B$27,2,FALSE)</f>
        <v>JPhannenstill</v>
      </c>
      <c r="F21" s="1" t="str">
        <f>VLOOKUP(A21,Tasks!$A$2:$D$101,3,FALSE)</f>
        <v>Review the patch approval policies. Ensure all servers and workstations that are supposed to be automatically patched are (by being in the correct patch groups)</v>
      </c>
      <c r="G21" s="1" t="str">
        <f>VLOOKUP($A21,Tasks!$A$2:$D$101,4,FALSE)</f>
        <v>System</v>
      </c>
    </row>
    <row r="22" spans="1:7" x14ac:dyDescent="0.25">
      <c r="A22" t="s">
        <v>66</v>
      </c>
      <c r="B22" t="s">
        <v>45</v>
      </c>
      <c r="C22">
        <v>1</v>
      </c>
      <c r="D22" s="1">
        <f>_xlfn.IFNA(VLOOKUP(B22,'Freq Lookup'!$A$1:$B$6,2,FALSE)*C22, 0)</f>
        <v>4</v>
      </c>
      <c r="E22" s="1" t="str">
        <f ca="1">VLOOKUP(MID(CELL("filename",$A$1),FIND("]",CELL("filename",$A$1))+1,31),Clients!$A$2:$B$27,2,FALSE)</f>
        <v>JPhannenstill</v>
      </c>
      <c r="F22" s="1" t="str">
        <f>VLOOKUP(A22,Tasks!$A$2:$D$101,3,FALSE)</f>
        <v>Update the firmware on the client's access points</v>
      </c>
      <c r="G22" s="1" t="str">
        <f>VLOOKUP($A22,Tasks!$A$2:$D$101,4,FALSE)</f>
        <v>Network</v>
      </c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  <row r="36" spans="8:8" x14ac:dyDescent="0.25">
      <c r="H36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Calculator\[KBH BPA Proposal 09202019 DRAFT 1.xlsx]Frequnecy vlookup'!#REF!</xm:f>
          </x14:formula1>
          <xm:sqref>B2:B18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30"/>
  <sheetViews>
    <sheetView workbookViewId="0">
      <selection activeCell="A23" sqref="A23:G23"/>
    </sheetView>
  </sheetViews>
  <sheetFormatPr defaultRowHeight="15" x14ac:dyDescent="0.25"/>
  <cols>
    <col min="1" max="1" width="54.28515625" bestFit="1" customWidth="1"/>
    <col min="2" max="2" width="12.140625" bestFit="1" customWidth="1"/>
    <col min="3" max="3" width="7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s="1" t="s">
        <v>106</v>
      </c>
      <c r="B2" s="1" t="s">
        <v>51</v>
      </c>
      <c r="C2" s="1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Bkew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s="1" t="s">
        <v>121</v>
      </c>
      <c r="B3" s="1" t="s">
        <v>41</v>
      </c>
      <c r="C3" s="1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Bkew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s="1" t="s">
        <v>42</v>
      </c>
      <c r="B4" s="1" t="s">
        <v>41</v>
      </c>
      <c r="C4" s="1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Bkew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s="1" t="s">
        <v>43</v>
      </c>
      <c r="B5" s="1" t="s">
        <v>41</v>
      </c>
      <c r="C5" s="1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Bkew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s="1" t="s">
        <v>109</v>
      </c>
      <c r="B6" s="1" t="s">
        <v>41</v>
      </c>
      <c r="C6" s="1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Bkew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s="1" t="s">
        <v>63</v>
      </c>
      <c r="B7" s="1" t="s">
        <v>45</v>
      </c>
      <c r="C7" s="1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Bkew</v>
      </c>
      <c r="F7" s="1" t="str">
        <f>VLOOKUP(A7,Tasks!$A$2:$D$101,3,FALSE)</f>
        <v>Update vCenter to the latest patch for the currently installed version</v>
      </c>
      <c r="G7" s="1" t="str">
        <f>VLOOKUP($A7,Tasks!$A$2:$D$101,4,FALSE)</f>
        <v>System</v>
      </c>
    </row>
    <row r="8" spans="1:7" x14ac:dyDescent="0.25">
      <c r="A8" s="1" t="s">
        <v>66</v>
      </c>
      <c r="B8" s="1" t="s">
        <v>45</v>
      </c>
      <c r="C8" s="1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Bkew</v>
      </c>
      <c r="F8" s="1" t="str">
        <f>VLOOKUP(A8,Tasks!$A$2:$D$101,3,FALSE)</f>
        <v>Update the firmware on the client's access points</v>
      </c>
      <c r="G8" s="1" t="str">
        <f>VLOOKUP($A8,Tasks!$A$2:$D$101,4,FALSE)</f>
        <v>Network</v>
      </c>
    </row>
    <row r="9" spans="1:7" x14ac:dyDescent="0.25">
      <c r="A9" s="1" t="s">
        <v>55</v>
      </c>
      <c r="B9" s="1" t="s">
        <v>45</v>
      </c>
      <c r="C9" s="1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Bkew</v>
      </c>
      <c r="F9" s="1" t="str">
        <f>VLOOKUP(A9,Tasks!$A$2:$D$101,3,FALSE)</f>
        <v>Take a backup of the hypervisor configuration and store the data in ITG, attach to the appropriate client device</v>
      </c>
      <c r="G9" s="1" t="str">
        <f>VLOOKUP($A9,Tasks!$A$2:$D$101,4,FALSE)</f>
        <v>System</v>
      </c>
    </row>
    <row r="10" spans="1:7" x14ac:dyDescent="0.25">
      <c r="A10" s="1" t="s">
        <v>56</v>
      </c>
      <c r="B10" s="1" t="s">
        <v>45</v>
      </c>
      <c r="C10" s="1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Bkew</v>
      </c>
      <c r="F10" s="1" t="str">
        <f>VLOOKUP(A10,Tasks!$A$2:$D$101,3,FALSE)</f>
        <v>Perform a file level restore utilizing the client's Veeam backups</v>
      </c>
      <c r="G10" s="1" t="str">
        <f>VLOOKUP($A10,Tasks!$A$2:$D$101,4,FALSE)</f>
        <v>System</v>
      </c>
    </row>
    <row r="11" spans="1:7" x14ac:dyDescent="0.25">
      <c r="A11" s="1" t="s">
        <v>57</v>
      </c>
      <c r="B11" s="1" t="s">
        <v>45</v>
      </c>
      <c r="C11" s="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Bkew</v>
      </c>
      <c r="F11" s="1" t="str">
        <f>VLOOKUP(A11,Tasks!$A$2:$D$101,3,FALSE)</f>
        <v>Update the iLO firmware on the cleint's servers</v>
      </c>
      <c r="G11" s="1" t="str">
        <f>VLOOKUP($A11,Tasks!$A$2:$D$101,4,FALSE)</f>
        <v>System</v>
      </c>
    </row>
    <row r="12" spans="1:7" x14ac:dyDescent="0.25">
      <c r="A12" s="1" t="s">
        <v>44</v>
      </c>
      <c r="B12" s="1" t="s">
        <v>45</v>
      </c>
      <c r="C12" s="1">
        <v>0.25</v>
      </c>
      <c r="D12" s="1">
        <f>_xlfn.IFNA(VLOOKUP(B12,'Freq Lookup'!$A$1:$B$6,2,FALSE)*C12, 0)</f>
        <v>1</v>
      </c>
      <c r="E12" s="1" t="str">
        <f ca="1">VLOOKUP(MID(CELL("filename",$A$1),FIND("]",CELL("filename",$A$1))+1,31),Clients!$A$2:$B$27,2,FALSE)</f>
        <v>Bkew</v>
      </c>
      <c r="F12" s="1" t="str">
        <f>VLOOKUP(A12,Tasks!$A$2:$D$101,3,FALSE)</f>
        <v>Update the firmware on the client's NAS device(s)</v>
      </c>
      <c r="G12" s="1" t="str">
        <f>VLOOKUP($A12,Tasks!$A$2:$D$101,4,FALSE)</f>
        <v>Storage</v>
      </c>
    </row>
    <row r="13" spans="1:7" x14ac:dyDescent="0.25">
      <c r="A13" s="1" t="s">
        <v>58</v>
      </c>
      <c r="B13" s="1" t="s">
        <v>45</v>
      </c>
      <c r="C13" s="1">
        <v>2</v>
      </c>
      <c r="D13" s="1">
        <f>_xlfn.IFNA(VLOOKUP(B13,'Freq Lookup'!$A$1:$B$6,2,FALSE)*C13, 0)</f>
        <v>8</v>
      </c>
      <c r="E13" s="1" t="str">
        <f ca="1">VLOOKUP(MID(CELL("filename",$A$1),FIND("]",CELL("filename",$A$1))+1,31),Clients!$A$2:$B$27,2,FALSE)</f>
        <v>Bkew</v>
      </c>
      <c r="F13" s="1" t="str">
        <f>VLOOKUP(A13,Tasks!$A$2:$D$101,3,FALSE)</f>
        <v>Install the latest ESXi patch for the currently installed version</v>
      </c>
      <c r="G13" s="1" t="str">
        <f>VLOOKUP($A13,Tasks!$A$2:$D$101,4,FALSE)</f>
        <v>System</v>
      </c>
    </row>
    <row r="14" spans="1:7" x14ac:dyDescent="0.25">
      <c r="A14" s="1" t="s">
        <v>46</v>
      </c>
      <c r="B14" s="1" t="s">
        <v>45</v>
      </c>
      <c r="C14" s="1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Bkew</v>
      </c>
      <c r="F14" s="1" t="str">
        <f>VLOOKUP(A14,Tasks!$A$2:$D$101,3,FALSE)</f>
        <v>Install the reccommended firewall firmware</v>
      </c>
      <c r="G14" s="1" t="str">
        <f>VLOOKUP($A14,Tasks!$A$2:$D$101,4,FALSE)</f>
        <v>Network</v>
      </c>
    </row>
    <row r="15" spans="1:7" x14ac:dyDescent="0.25">
      <c r="A15" s="1" t="s">
        <v>64</v>
      </c>
      <c r="B15" s="1" t="s">
        <v>45</v>
      </c>
      <c r="C15" s="1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Bkew</v>
      </c>
      <c r="F15" s="1" t="str">
        <f>VLOOKUP(A15,Tasks!$A$2:$D$101,3,FALSE)</f>
        <v>Install the latest SQL service pack</v>
      </c>
      <c r="G15" s="1" t="str">
        <f>VLOOKUP($A15,Tasks!$A$2:$D$101,4,FALSE)</f>
        <v>Application</v>
      </c>
    </row>
    <row r="16" spans="1:7" x14ac:dyDescent="0.25">
      <c r="A16" s="1" t="s">
        <v>59</v>
      </c>
      <c r="B16" s="1" t="s">
        <v>116</v>
      </c>
      <c r="C16" s="1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Bkew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s="1" t="s">
        <v>60</v>
      </c>
      <c r="B17" s="1" t="s">
        <v>116</v>
      </c>
      <c r="C17" s="1">
        <v>1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Bkew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s="1" t="s">
        <v>47</v>
      </c>
      <c r="B18" s="1" t="s">
        <v>48</v>
      </c>
      <c r="C18" s="1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Bkew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s="1" t="s">
        <v>49</v>
      </c>
      <c r="B19" s="1" t="s">
        <v>48</v>
      </c>
      <c r="C19" s="1">
        <v>1</v>
      </c>
      <c r="D19" s="1">
        <f>_xlfn.IFNA(VLOOKUP(B19,'Freq Lookup'!$A$1:$B$6,2,FALSE)*C19, 0)</f>
        <v>1</v>
      </c>
      <c r="E19" s="1" t="str">
        <f ca="1">VLOOKUP(MID(CELL("filename",$A$1),FIND("]",CELL("filename",$A$1))+1,31),Clients!$A$2:$B$27,2,FALSE)</f>
        <v>Bkew</v>
      </c>
      <c r="F19" s="1" t="str">
        <f>VLOOKUP(A19,Tasks!$A$2:$D$101,3,FALSE)</f>
        <v>Work with the account's vCIO or primary engineer to review the configuration of the client's Group policies. Ensure that the configuraiton is still optimal for the client's environment.</v>
      </c>
      <c r="G19" s="1" t="str">
        <f>VLOOKUP($A19,Tasks!$A$2:$D$101,4,FALSE)</f>
        <v>System</v>
      </c>
    </row>
    <row r="20" spans="1:7" x14ac:dyDescent="0.25">
      <c r="A20" s="1" t="s">
        <v>62</v>
      </c>
      <c r="B20" s="1" t="s">
        <v>45</v>
      </c>
      <c r="C20" s="1">
        <v>1</v>
      </c>
      <c r="D20" s="1">
        <f>_xlfn.IFNA(VLOOKUP(B20,'Freq Lookup'!$A$1:$B$6,2,FALSE)*C20, 0)</f>
        <v>4</v>
      </c>
      <c r="E20" s="1" t="str">
        <f ca="1">VLOOKUP(MID(CELL("filename",$A$1),FIND("]",CELL("filename",$A$1))+1,31),Clients!$A$2:$B$27,2,FALSE)</f>
        <v>Bkew</v>
      </c>
      <c r="F20" s="1" t="str">
        <f>VLOOKUP(A20,Tasks!$A$2:$D$101,3,FALSE)</f>
        <v>Install the latest version of Veeam Backup and Replication</v>
      </c>
      <c r="G20" s="1" t="str">
        <f>VLOOKUP($A20,Tasks!$A$2:$D$101,4,FALSE)</f>
        <v>System</v>
      </c>
    </row>
    <row r="21" spans="1:7" x14ac:dyDescent="0.25">
      <c r="A21" t="s">
        <v>83</v>
      </c>
      <c r="B21" t="s">
        <v>48</v>
      </c>
      <c r="C21">
        <v>1.5</v>
      </c>
      <c r="D21" s="1">
        <f>_xlfn.IFNA(VLOOKUP(B21,'Freq Lookup'!$A$1:$B$6,2,FALSE)*C21, 0)</f>
        <v>1.5</v>
      </c>
      <c r="E21" s="1" t="str">
        <f ca="1">VLOOKUP(MID(CELL("filename",$A$1),FIND("]",CELL("filename",$A$1))+1,31),Clients!$A$2:$B$27,2,FALSE)</f>
        <v>Bkew</v>
      </c>
      <c r="F21" s="1" t="str">
        <f>VLOOKUP(A21,Tasks!$A$2:$D$101,3,FALSE)</f>
        <v>Perform an audit of the client's switch configuration for issues</v>
      </c>
      <c r="G21" s="1" t="str">
        <f>VLOOKUP($A21,Tasks!$A$2:$D$101,4,FALSE)</f>
        <v>Security</v>
      </c>
    </row>
    <row r="22" spans="1:7" x14ac:dyDescent="0.25">
      <c r="A22" t="s">
        <v>103</v>
      </c>
      <c r="B22" t="s">
        <v>41</v>
      </c>
      <c r="C22">
        <v>1</v>
      </c>
      <c r="D22" s="1">
        <f>_xlfn.IFNA(VLOOKUP(B22,'Freq Lookup'!$A$1:$B$6,2,FALSE)*C22, 0)</f>
        <v>12</v>
      </c>
      <c r="E22" s="1" t="str">
        <f ca="1">VLOOKUP(MID(CELL("filename",$A$1),FIND("]",CELL("filename",$A$1))+1,31),Clients!$A$2:$B$27,2,FALSE)</f>
        <v>Bkew</v>
      </c>
      <c r="F22" s="1" t="str">
        <f>VLOOKUP(A22,Tasks!$A$2:$D$101,3,FALSE)</f>
        <v>Utilizing Auvik, review the client's network for issues. Ensure all infrastructure devices are SNMP \ login integrated. Ensure that all devices classified appropraitely.</v>
      </c>
      <c r="G22" s="1" t="str">
        <f>VLOOKUP($A22,Tasks!$A$2:$D$101,4,FALSE)</f>
        <v>Network</v>
      </c>
    </row>
    <row r="23" spans="1:7" x14ac:dyDescent="0.25">
      <c r="A23" s="1" t="s">
        <v>93</v>
      </c>
      <c r="B23" t="s">
        <v>45</v>
      </c>
      <c r="C23" s="1">
        <v>0.5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Bkew</v>
      </c>
      <c r="F23" s="1" t="str">
        <f>VLOOKUP(A23,Tasks!$A$2:$D$101,3,FALSE)</f>
        <v>Review the patch approval policies. Ensure all servers and workstations that are supposed to be automatically patched are (by being in the correct patch groups)</v>
      </c>
      <c r="G23" s="1" t="str">
        <f>VLOOKUP($A23,Tasks!$A$2:$D$101,4,FALSE)</f>
        <v>System</v>
      </c>
    </row>
    <row r="24" spans="1:7" x14ac:dyDescent="0.25">
      <c r="A24" t="s">
        <v>66</v>
      </c>
      <c r="B24" t="s">
        <v>45</v>
      </c>
      <c r="C24">
        <v>1</v>
      </c>
      <c r="D24" s="1">
        <f>_xlfn.IFNA(VLOOKUP(B24,'Freq Lookup'!$A$1:$B$6,2,FALSE)*C24, 0)</f>
        <v>4</v>
      </c>
      <c r="E24" s="1" t="str">
        <f ca="1">VLOOKUP(MID(CELL("filename",$A$1),FIND("]",CELL("filename",$A$1))+1,31),Clients!$A$2:$B$27,2,FALSE)</f>
        <v>Bkew</v>
      </c>
      <c r="F24" s="1" t="str">
        <f>VLOOKUP(A24,Tasks!$A$2:$D$101,3,FALSE)</f>
        <v>Update the firmware on the client's access points</v>
      </c>
      <c r="G24" s="1" t="str">
        <f>VLOOKUP($A24,Tasks!$A$2:$D$101,4,FALSE)</f>
        <v>Network</v>
      </c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30"/>
  <sheetViews>
    <sheetView workbookViewId="0">
      <selection activeCell="A20" sqref="A20:G20"/>
    </sheetView>
  </sheetViews>
  <sheetFormatPr defaultRowHeight="15" x14ac:dyDescent="0.25"/>
  <cols>
    <col min="1" max="1" width="54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?????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?????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?????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109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?????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63</v>
      </c>
      <c r="B6" t="s">
        <v>45</v>
      </c>
      <c r="C6">
        <v>1</v>
      </c>
      <c r="D6" s="1">
        <f>_xlfn.IFNA(VLOOKUP(B6,'Freq Lookup'!$A$1:$B$6,2,FALSE)*C6, 0)</f>
        <v>4</v>
      </c>
      <c r="E6" s="1" t="str">
        <f ca="1">VLOOKUP(MID(CELL("filename",$A$1),FIND("]",CELL("filename",$A$1))+1,31),Clients!$A$2:$B$27,2,FALSE)</f>
        <v>?????</v>
      </c>
      <c r="F6" s="1" t="str">
        <f>VLOOKUP(A6,Tasks!$A$2:$D$101,3,FALSE)</f>
        <v>Update vCenter to the latest patch for the currently installed version</v>
      </c>
      <c r="G6" s="1" t="str">
        <f>VLOOKUP($A6,Tasks!$A$2:$D$101,4,FALSE)</f>
        <v>System</v>
      </c>
    </row>
    <row r="7" spans="1:7" x14ac:dyDescent="0.25">
      <c r="A7" t="s">
        <v>55</v>
      </c>
      <c r="B7" t="s">
        <v>45</v>
      </c>
      <c r="C7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?????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t="s">
        <v>56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?????</v>
      </c>
      <c r="F8" s="1" t="str">
        <f>VLOOKUP(A8,Tasks!$A$2:$D$101,3,FALSE)</f>
        <v>Perform a file level restore utilizing the client's Veeam backups</v>
      </c>
      <c r="G8" s="1" t="str">
        <f>VLOOKUP($A8,Tasks!$A$2:$D$101,4,FALSE)</f>
        <v>System</v>
      </c>
    </row>
    <row r="9" spans="1:7" x14ac:dyDescent="0.25">
      <c r="A9" t="s">
        <v>57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?????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t="s">
        <v>44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?????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t="s">
        <v>58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?????</v>
      </c>
      <c r="F11" s="1" t="str">
        <f>VLOOKUP(A11,Tasks!$A$2:$D$101,3,FALSE)</f>
        <v>Install the latest ESXi patch for the currently installed version</v>
      </c>
      <c r="G11" s="1" t="str">
        <f>VLOOKUP($A11,Tasks!$A$2:$D$101,4,FALSE)</f>
        <v>System</v>
      </c>
    </row>
    <row r="12" spans="1:7" x14ac:dyDescent="0.25">
      <c r="A12" t="s">
        <v>46</v>
      </c>
      <c r="B12" t="s">
        <v>45</v>
      </c>
      <c r="C12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?????</v>
      </c>
      <c r="F12" s="1" t="str">
        <f>VLOOKUP(A12,Tasks!$A$2:$D$101,3,FALSE)</f>
        <v>Install the reccommended firewall firmware</v>
      </c>
      <c r="G12" s="1" t="str">
        <f>VLOOKUP($A12,Tasks!$A$2:$D$101,4,FALSE)</f>
        <v>Network</v>
      </c>
    </row>
    <row r="13" spans="1:7" x14ac:dyDescent="0.25">
      <c r="A13" t="s">
        <v>64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?????</v>
      </c>
      <c r="F13" s="1" t="str">
        <f>VLOOKUP(A13,Tasks!$A$2:$D$101,3,FALSE)</f>
        <v>Install the latest SQL service pack</v>
      </c>
      <c r="G13" s="1" t="str">
        <f>VLOOKUP($A13,Tasks!$A$2:$D$101,4,FALSE)</f>
        <v>Application</v>
      </c>
    </row>
    <row r="14" spans="1:7" x14ac:dyDescent="0.25">
      <c r="A14" t="s">
        <v>59</v>
      </c>
      <c r="B14" t="s">
        <v>116</v>
      </c>
      <c r="C14">
        <v>0.5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?????</v>
      </c>
      <c r="F14" s="1" t="str">
        <f>VLOOKUP(A14,Tasks!$A$2:$D$101,3,FALSE)</f>
        <v>Work with the account's vCIO or primary engineer to review the configuration of the client's backup jobs. Ensure that the configuraiton is still optimal for the client's environment</v>
      </c>
      <c r="G14" s="1" t="str">
        <f>VLOOKUP($A14,Tasks!$A$2:$D$101,4,FALSE)</f>
        <v>System</v>
      </c>
    </row>
    <row r="15" spans="1:7" x14ac:dyDescent="0.25">
      <c r="A15" t="s">
        <v>60</v>
      </c>
      <c r="B15" t="s">
        <v>116</v>
      </c>
      <c r="C15">
        <v>1</v>
      </c>
      <c r="D15" s="1">
        <f>_xlfn.IFNA(VLOOKUP(B15,'Freq Lookup'!$A$1:$B$6,2,FALSE)*C15, 0)</f>
        <v>2</v>
      </c>
      <c r="E15" s="1" t="str">
        <f ca="1">VLOOKUP(MID(CELL("filename",$A$1),FIND("]",CELL("filename",$A$1))+1,31),Clients!$A$2:$B$27,2,FALSE)</f>
        <v>?????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t="s">
        <v>71</v>
      </c>
      <c r="B16" t="s">
        <v>48</v>
      </c>
      <c r="C16">
        <v>1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?????</v>
      </c>
      <c r="F16" s="1" t="str">
        <f>VLOOKUP(A16,Tasks!$A$2:$D$101,3,FALSE)</f>
        <v>Update the firmware on the client's load balancer to the latest reccommedned version</v>
      </c>
      <c r="G16" s="1" t="str">
        <f>VLOOKUP($A16,Tasks!$A$2:$D$101,4,FALSE)</f>
        <v>Network</v>
      </c>
    </row>
    <row r="17" spans="1:7" x14ac:dyDescent="0.25">
      <c r="A17" t="s">
        <v>49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?????</v>
      </c>
      <c r="F17" s="1" t="str">
        <f>VLOOKUP(A17,Tasks!$A$2:$D$101,3,FALSE)</f>
        <v>Work with the account's vCIO or primary engineer to review the configuration of the client's Group policies. Ensure that the configuraiton is still optimal for the client's environment.</v>
      </c>
      <c r="G17" s="1" t="str">
        <f>VLOOKUP($A17,Tasks!$A$2:$D$101,4,FALSE)</f>
        <v>System</v>
      </c>
    </row>
    <row r="18" spans="1:7" x14ac:dyDescent="0.25">
      <c r="A18" t="s">
        <v>62</v>
      </c>
      <c r="B18" t="s">
        <v>45</v>
      </c>
      <c r="C18">
        <v>1</v>
      </c>
      <c r="D18" s="1">
        <f>_xlfn.IFNA(VLOOKUP(B18,'Freq Lookup'!$A$1:$B$6,2,FALSE)*C18, 0)</f>
        <v>4</v>
      </c>
      <c r="E18" s="1" t="str">
        <f ca="1">VLOOKUP(MID(CELL("filename",$A$1),FIND("]",CELL("filename",$A$1))+1,31),Clients!$A$2:$B$27,2,FALSE)</f>
        <v>?????</v>
      </c>
      <c r="F18" s="1" t="str">
        <f>VLOOKUP(A18,Tasks!$A$2:$D$101,3,FALSE)</f>
        <v>Install the latest version of Veeam Backup and Replication</v>
      </c>
      <c r="G18" s="1" t="str">
        <f>VLOOKUP($A18,Tasks!$A$2:$D$101,4,FALSE)</f>
        <v>System</v>
      </c>
    </row>
    <row r="19" spans="1:7" x14ac:dyDescent="0.25">
      <c r="A19" t="s">
        <v>83</v>
      </c>
      <c r="B19" t="s">
        <v>48</v>
      </c>
      <c r="C19">
        <v>1.5</v>
      </c>
      <c r="D19" s="1">
        <f>_xlfn.IFNA(VLOOKUP(B19,'Freq Lookup'!$A$1:$B$6,2,FALSE)*C19, 0)</f>
        <v>1.5</v>
      </c>
      <c r="E19" s="1" t="str">
        <f ca="1">VLOOKUP(MID(CELL("filename",$A$1),FIND("]",CELL("filename",$A$1))+1,31),Clients!$A$2:$B$27,2,FALSE)</f>
        <v>?????</v>
      </c>
      <c r="F19" s="1" t="str">
        <f>VLOOKUP(A19,Tasks!$A$2:$D$101,3,FALSE)</f>
        <v>Perform an audit of the client's switch configuration for issues</v>
      </c>
      <c r="G19" s="1" t="str">
        <f>VLOOKUP($A19,Tasks!$A$2:$D$101,4,FALSE)</f>
        <v>Security</v>
      </c>
    </row>
    <row r="20" spans="1:7" x14ac:dyDescent="0.25">
      <c r="A20" s="1" t="s">
        <v>93</v>
      </c>
      <c r="B20" t="s">
        <v>45</v>
      </c>
      <c r="C20" s="1">
        <v>0.5</v>
      </c>
      <c r="D20" s="1">
        <f>_xlfn.IFNA(VLOOKUP(B20,'Freq Lookup'!$A$1:$B$6,2,FALSE)*C20, 0)</f>
        <v>2</v>
      </c>
      <c r="E20" s="1" t="str">
        <f ca="1">VLOOKUP(MID(CELL("filename",$A$1),FIND("]",CELL("filename",$A$1))+1,31),Clients!$A$2:$B$27,2,FALSE)</f>
        <v>?????</v>
      </c>
      <c r="F20" s="1" t="str">
        <f>VLOOKUP(A20,Tasks!$A$2:$D$101,3,FALSE)</f>
        <v>Review the patch approval policies. Ensure all servers and workstations that are supposed to be automatically patched are (by being in the correct patch groups)</v>
      </c>
      <c r="G20" s="1" t="str">
        <f>VLOOKUP($A20,Tasks!$A$2:$D$101,4,FALSE)</f>
        <v>System</v>
      </c>
    </row>
    <row r="21" spans="1:7" x14ac:dyDescent="0.25">
      <c r="A21" t="s">
        <v>66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?????</v>
      </c>
      <c r="F21" s="1" t="str">
        <f>VLOOKUP(A21,Tasks!$A$2:$D$101,3,FALSE)</f>
        <v>Update the firmware on the client's access points</v>
      </c>
      <c r="G21" s="1" t="str">
        <f>VLOOKUP($A21,Tasks!$A$2:$D$101,4,FALSE)</f>
        <v>Network</v>
      </c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'[LSM BPA Proposal 09202019 DRAFT 1.xlsx]Frequnecy vlookup'!#REF!</xm:f>
          </x14:formula1>
          <xm:sqref>B2:B17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G30"/>
  <sheetViews>
    <sheetView workbookViewId="0">
      <selection activeCell="A12" sqref="A12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109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55</v>
      </c>
      <c r="B6" t="s">
        <v>45</v>
      </c>
      <c r="C6">
        <v>0.25</v>
      </c>
      <c r="D6" s="1">
        <f>_xlfn.IFNA(VLOOKUP(B6,'Freq Lookup'!$A$1:$B$6,2,FALSE)*C6, 0)</f>
        <v>1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Take a backup of the hypervisor configuration and store the data in ITG, attach to the appropriate client device</v>
      </c>
      <c r="G6" s="1" t="str">
        <f>VLOOKUP($A6,Tasks!$A$2:$D$101,4,FALSE)</f>
        <v>System</v>
      </c>
    </row>
    <row r="7" spans="1:7" x14ac:dyDescent="0.25">
      <c r="A7" t="s">
        <v>57</v>
      </c>
      <c r="B7" t="s">
        <v>116</v>
      </c>
      <c r="C7">
        <v>0.25</v>
      </c>
      <c r="D7" s="1">
        <f>_xlfn.IFNA(VLOOKUP(B7,'Freq Lookup'!$A$1:$B$6,2,FALSE)*C7, 0)</f>
        <v>0.5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the iLO firmware on the cleint's servers</v>
      </c>
      <c r="G7" s="1" t="str">
        <f>VLOOKUP($A7,Tasks!$A$2:$D$101,4,FALSE)</f>
        <v>System</v>
      </c>
    </row>
    <row r="8" spans="1:7" x14ac:dyDescent="0.25">
      <c r="A8" t="s">
        <v>58</v>
      </c>
      <c r="B8" t="s">
        <v>116</v>
      </c>
      <c r="C8">
        <v>1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Install the latest ESXi patch for the currently installed version</v>
      </c>
      <c r="G8" s="1" t="str">
        <f>VLOOKUP($A8,Tasks!$A$2:$D$101,4,FALSE)</f>
        <v>System</v>
      </c>
    </row>
    <row r="9" spans="1:7" x14ac:dyDescent="0.25">
      <c r="A9" t="s">
        <v>46</v>
      </c>
      <c r="B9" t="s">
        <v>116</v>
      </c>
      <c r="C9">
        <v>0.5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Install the reccommended firewall firmware</v>
      </c>
      <c r="G9" s="1" t="str">
        <f>VLOOKUP($A9,Tasks!$A$2:$D$101,4,FALSE)</f>
        <v>Network</v>
      </c>
    </row>
    <row r="10" spans="1:7" x14ac:dyDescent="0.25">
      <c r="A10" t="s">
        <v>60</v>
      </c>
      <c r="B10" t="s">
        <v>48</v>
      </c>
      <c r="C10">
        <v>1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Update the firmware on the client's servers - For  HP servers check for a model specific BIOS update that may have been released after the latest ISO/</v>
      </c>
      <c r="G10" s="1" t="str">
        <f>VLOOKUP($A10,Tasks!$A$2:$D$101,4,FALSE)</f>
        <v>System</v>
      </c>
    </row>
    <row r="11" spans="1:7" x14ac:dyDescent="0.25">
      <c r="A11" t="s">
        <v>47</v>
      </c>
      <c r="B11" t="s">
        <v>48</v>
      </c>
      <c r="C11">
        <v>1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Update the firmware on the client's switches</v>
      </c>
      <c r="G11" s="1" t="str">
        <f>VLOOKUP($A11,Tasks!$A$2:$D$101,4,FALSE)</f>
        <v>Network</v>
      </c>
    </row>
    <row r="12" spans="1:7" x14ac:dyDescent="0.25">
      <c r="A12" t="s">
        <v>104</v>
      </c>
      <c r="B12" t="s">
        <v>51</v>
      </c>
      <c r="C12">
        <v>0.25</v>
      </c>
      <c r="D12" s="1">
        <f>_xlfn.IFNA(VLOOKUP(B12,'Freq Lookup'!$A$1:$B$6,2,FALSE)*C12, 0)</f>
        <v>13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Review the client's Azure backups for issues.</v>
      </c>
      <c r="G12" s="1" t="str">
        <f>VLOOKUP($A12,Tasks!$A$2:$D$101,4,FALSE)</f>
        <v>System</v>
      </c>
    </row>
    <row r="13" spans="1:7" x14ac:dyDescent="0.25">
      <c r="A13" t="s">
        <v>103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Utilizing Auvik, review the client's network for issues. Ensure all infrastructure devices are SNMP \ login integrated. Ensure that all devices classified appropraitely.</v>
      </c>
      <c r="G13" s="1" t="str">
        <f>VLOOKUP($A13,Tasks!$A$2:$D$101,4,FALSE)</f>
        <v>Network</v>
      </c>
    </row>
    <row r="14" spans="1:7" x14ac:dyDescent="0.25">
      <c r="A14" s="1" t="s">
        <v>93</v>
      </c>
      <c r="B14" t="s">
        <v>45</v>
      </c>
      <c r="C14" s="1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Review the patch approval policies. Ensure all servers and workstations that are supposed to be automatically patched are (by being in the correct patch groups)</v>
      </c>
      <c r="G14" s="1" t="str">
        <f>VLOOKUP($A14,Tasks!$A$2:$D$101,4,FALSE)</f>
        <v>System</v>
      </c>
    </row>
    <row r="15" spans="1:7" x14ac:dyDescent="0.25">
      <c r="A15" t="s">
        <v>66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Update the firmware on the client's access points</v>
      </c>
      <c r="G15" s="1" t="str">
        <f>VLOOKUP($A15,Tasks!$A$2:$D$101,4,FALSE)</f>
        <v>Network</v>
      </c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'N:\Engineering\ITSP BPSA ESM\BPA - Best Practice Administration\BPA 5.0\Budget Calculator\[MND BPA Proposal 08302019 DRAFT 1.xlsx]Frequnecy vlookup'!#REF!</xm:f>
          </x14:formula1>
          <xm:sqref>B2:B11</xm:sqref>
        </x14:dataValidation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B12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29"/>
  <sheetViews>
    <sheetView workbookViewId="0">
      <selection activeCell="A17" sqref="A17:G17"/>
    </sheetView>
  </sheetViews>
  <sheetFormatPr defaultRowHeight="15" x14ac:dyDescent="0.25"/>
  <cols>
    <col min="1" max="1" width="54.28515625" bestFit="1" customWidth="1"/>
    <col min="2" max="2" width="12.140625" bestFit="1" customWidth="1"/>
    <col min="3" max="3" width="7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?????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?????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?????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109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?????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63</v>
      </c>
      <c r="B6" t="s">
        <v>45</v>
      </c>
      <c r="C6">
        <v>1</v>
      </c>
      <c r="D6" s="1">
        <f>_xlfn.IFNA(VLOOKUP(B6,'Freq Lookup'!$A$1:$B$6,2,FALSE)*C6, 0)</f>
        <v>4</v>
      </c>
      <c r="E6" s="1" t="str">
        <f ca="1">VLOOKUP(MID(CELL("filename",$A$1),FIND("]",CELL("filename",$A$1))+1,31),Clients!$A$2:$B$27,2,FALSE)</f>
        <v>?????</v>
      </c>
      <c r="F6" s="1" t="str">
        <f>VLOOKUP(A6,Tasks!$A$2:$D$101,3,FALSE)</f>
        <v>Update vCenter to the latest patch for the currently installed version</v>
      </c>
      <c r="G6" s="1" t="str">
        <f>VLOOKUP($A6,Tasks!$A$2:$D$101,4,FALSE)</f>
        <v>System</v>
      </c>
    </row>
    <row r="7" spans="1:7" x14ac:dyDescent="0.25">
      <c r="A7" t="s">
        <v>55</v>
      </c>
      <c r="B7" t="s">
        <v>45</v>
      </c>
      <c r="C7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?????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t="s">
        <v>56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?????</v>
      </c>
      <c r="F8" s="1" t="str">
        <f>VLOOKUP(A8,Tasks!$A$2:$D$101,3,FALSE)</f>
        <v>Perform a file level restore utilizing the client's Veeam backups</v>
      </c>
      <c r="G8" s="1" t="str">
        <f>VLOOKUP($A8,Tasks!$A$2:$D$101,4,FALSE)</f>
        <v>System</v>
      </c>
    </row>
    <row r="9" spans="1:7" x14ac:dyDescent="0.25">
      <c r="A9" t="s">
        <v>57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?????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t="s">
        <v>44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?????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t="s">
        <v>58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?????</v>
      </c>
      <c r="F11" s="1" t="str">
        <f>VLOOKUP(A11,Tasks!$A$2:$D$101,3,FALSE)</f>
        <v>Install the latest ESXi patch for the currently installed version</v>
      </c>
      <c r="G11" s="1" t="str">
        <f>VLOOKUP($A11,Tasks!$A$2:$D$101,4,FALSE)</f>
        <v>System</v>
      </c>
    </row>
    <row r="12" spans="1:7" x14ac:dyDescent="0.25">
      <c r="A12" t="s">
        <v>59</v>
      </c>
      <c r="B12" t="s">
        <v>116</v>
      </c>
      <c r="C12">
        <v>0.5</v>
      </c>
      <c r="D12" s="1">
        <f>_xlfn.IFNA(VLOOKUP(B12,'Freq Lookup'!$A$1:$B$6,2,FALSE)*C12, 0)</f>
        <v>1</v>
      </c>
      <c r="E12" s="1" t="str">
        <f ca="1">VLOOKUP(MID(CELL("filename",$A$1),FIND("]",CELL("filename",$A$1))+1,31),Clients!$A$2:$B$27,2,FALSE)</f>
        <v>?????</v>
      </c>
      <c r="F12" s="1" t="str">
        <f>VLOOKUP(A12,Tasks!$A$2:$D$101,3,FALSE)</f>
        <v>Work with the account's vCIO or primary engineer to review the configuration of the client's backup jobs. Ensure that the configuraiton is still optimal for the client's environment</v>
      </c>
      <c r="G12" s="1" t="str">
        <f>VLOOKUP($A12,Tasks!$A$2:$D$101,4,FALSE)</f>
        <v>System</v>
      </c>
    </row>
    <row r="13" spans="1:7" x14ac:dyDescent="0.25">
      <c r="A13" t="s">
        <v>60</v>
      </c>
      <c r="B13" t="s">
        <v>116</v>
      </c>
      <c r="C13">
        <v>1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?????</v>
      </c>
      <c r="F13" s="1" t="str">
        <f>VLOOKUP(A13,Tasks!$A$2:$D$101,3,FALSE)</f>
        <v>Update the firmware on the client's servers - For  HP servers check for a model specific BIOS update that may have been released after the latest ISO/</v>
      </c>
      <c r="G13" s="1" t="str">
        <f>VLOOKUP($A13,Tasks!$A$2:$D$101,4,FALSE)</f>
        <v>System</v>
      </c>
    </row>
    <row r="14" spans="1:7" x14ac:dyDescent="0.25">
      <c r="A14" t="s">
        <v>49</v>
      </c>
      <c r="B14" t="s">
        <v>48</v>
      </c>
      <c r="C14">
        <v>1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?????</v>
      </c>
      <c r="F14" s="1" t="str">
        <f>VLOOKUP(A14,Tasks!$A$2:$D$101,3,FALSE)</f>
        <v>Work with the account's vCIO or primary engineer to review the configuration of the client's Group policies. Ensure that the configuraiton is still optimal for the client's environment.</v>
      </c>
      <c r="G14" s="1" t="str">
        <f>VLOOKUP($A14,Tasks!$A$2:$D$101,4,FALSE)</f>
        <v>System</v>
      </c>
    </row>
    <row r="15" spans="1:7" x14ac:dyDescent="0.25">
      <c r="A15" t="s">
        <v>62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?????</v>
      </c>
      <c r="F15" s="1" t="str">
        <f>VLOOKUP(A15,Tasks!$A$2:$D$101,3,FALSE)</f>
        <v>Install the latest version of Veeam Backup and Replication</v>
      </c>
      <c r="G15" s="1" t="str">
        <f>VLOOKUP($A15,Tasks!$A$2:$D$101,4,FALSE)</f>
        <v>System</v>
      </c>
    </row>
    <row r="16" spans="1:7" x14ac:dyDescent="0.25">
      <c r="A16" t="s">
        <v>103</v>
      </c>
      <c r="B16" t="s">
        <v>41</v>
      </c>
      <c r="C16">
        <v>1</v>
      </c>
      <c r="D16" s="1">
        <f>_xlfn.IFNA(VLOOKUP(B16,'Freq Lookup'!$A$1:$B$6,2,FALSE)*C16, 0)</f>
        <v>12</v>
      </c>
      <c r="E16" s="1" t="str">
        <f ca="1">VLOOKUP(MID(CELL("filename",$A$1),FIND("]",CELL("filename",$A$1))+1,31),Clients!$A$2:$B$27,2,FALSE)</f>
        <v>?????</v>
      </c>
      <c r="F16" s="1" t="str">
        <f>VLOOKUP(A16,Tasks!$A$2:$D$101,3,FALSE)</f>
        <v>Utilizing Auvik, review the client's network for issues. Ensure all infrastructure devices are SNMP \ login integrated. Ensure that all devices classified appropraitely.</v>
      </c>
      <c r="G16" s="1" t="str">
        <f>VLOOKUP($A16,Tasks!$A$2:$D$101,4,FALSE)</f>
        <v>Network</v>
      </c>
    </row>
    <row r="17" spans="1:7" x14ac:dyDescent="0.25">
      <c r="A17" s="1" t="s">
        <v>93</v>
      </c>
      <c r="B17" t="s">
        <v>45</v>
      </c>
      <c r="C17" s="1">
        <v>0.5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?????</v>
      </c>
      <c r="F17" s="1" t="str">
        <f>VLOOKUP(A17,Tasks!$A$2:$D$101,3,FALSE)</f>
        <v>Review the patch approval policies. Ensure all servers and workstations that are supposed to be automatically patched are (by being in the correct patch groups)</v>
      </c>
      <c r="G17" s="1" t="str">
        <f>VLOOKUP($A17,Tasks!$A$2:$D$101,4,FALSE)</f>
        <v>System</v>
      </c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Calculator\[RSB BPA Proposal 09202019 DRAFT 1.xlsx]Frequnecy vlookup'!#REF!</xm:f>
          </x14:formula1>
          <xm:sqref>B2:B14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G30"/>
  <sheetViews>
    <sheetView workbookViewId="0">
      <selection activeCell="A12" sqref="A12:G12"/>
    </sheetView>
  </sheetViews>
  <sheetFormatPr defaultRowHeight="15" x14ac:dyDescent="0.25"/>
  <cols>
    <col min="1" max="1" width="39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s="1" t="s">
        <v>43</v>
      </c>
      <c r="B2" s="1" t="s">
        <v>41</v>
      </c>
      <c r="C2" s="1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client's Office 365 portal for licensing or other issues</v>
      </c>
      <c r="G2" s="1" t="str">
        <f>VLOOKUP($A2,Tasks!$A$2:$D$101,4,FALSE)</f>
        <v>Cloud</v>
      </c>
    </row>
    <row r="3" spans="1:7" x14ac:dyDescent="0.25">
      <c r="A3" s="1" t="s">
        <v>46</v>
      </c>
      <c r="B3" s="1" t="s">
        <v>45</v>
      </c>
      <c r="C3" s="1">
        <v>0.5</v>
      </c>
      <c r="D3" s="1">
        <f>_xlfn.IFNA(VLOOKUP(B3,'Freq Lookup'!$A$1:$B$6,2,FALSE)*C3, 0)</f>
        <v>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Install the reccommended firewall firmware</v>
      </c>
      <c r="G3" s="1" t="str">
        <f>VLOOKUP($A3,Tasks!$A$2:$D$101,4,FALSE)</f>
        <v>Network</v>
      </c>
    </row>
    <row r="4" spans="1:7" x14ac:dyDescent="0.25">
      <c r="A4" s="1" t="s">
        <v>47</v>
      </c>
      <c r="B4" s="1" t="s">
        <v>48</v>
      </c>
      <c r="C4" s="1">
        <v>1</v>
      </c>
      <c r="D4" s="1">
        <f>_xlfn.IFNA(VLOOKUP(B4,'Freq Lookup'!$A$1:$B$6,2,FALSE)*C4, 0)</f>
        <v>1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Update the firmware on the client's switches</v>
      </c>
      <c r="G4" s="1" t="str">
        <f>VLOOKUP($A4,Tasks!$A$2:$D$101,4,FALSE)</f>
        <v>Network</v>
      </c>
    </row>
    <row r="5" spans="1:7" x14ac:dyDescent="0.25">
      <c r="A5" s="1" t="s">
        <v>80</v>
      </c>
      <c r="B5" s="1" t="s">
        <v>41</v>
      </c>
      <c r="C5" s="1">
        <v>1</v>
      </c>
      <c r="D5" s="1">
        <f>_xlfn.IFNA(VLOOKUP(B5,'Freq Lookup'!$A$1:$B$6,2,FALSE)*C5, 0)</f>
        <v>12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workstations for disk space issues</v>
      </c>
      <c r="G5" s="1" t="str">
        <f>VLOOKUP($A5,Tasks!$A$2:$D$101,4,FALSE)</f>
        <v>Desktop</v>
      </c>
    </row>
    <row r="6" spans="1:7" x14ac:dyDescent="0.25">
      <c r="A6" s="1" t="s">
        <v>81</v>
      </c>
      <c r="B6" s="1" t="s">
        <v>41</v>
      </c>
      <c r="C6" s="1">
        <v>1</v>
      </c>
      <c r="D6" s="1">
        <f>_xlfn.IFNA(VLOOKUP(B6,'Freq Lookup'!$A$1:$B$6,2,FALSE)*C6, 0)</f>
        <v>12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Review the state of Webroot Agents on the client's systems and update any that have not automatically been updates</v>
      </c>
      <c r="G6" s="1" t="str">
        <f>VLOOKUP($A6,Tasks!$A$2:$D$101,4,FALSE)</f>
        <v>Security</v>
      </c>
    </row>
    <row r="7" spans="1:7" x14ac:dyDescent="0.25">
      <c r="A7" s="1" t="s">
        <v>82</v>
      </c>
      <c r="B7" s="1" t="s">
        <v>41</v>
      </c>
      <c r="C7" s="1">
        <v>1</v>
      </c>
      <c r="D7" s="1">
        <f>_xlfn.IFNA(VLOOKUP(B7,'Freq Lookup'!$A$1:$B$6,2,FALSE)*C7, 0)</f>
        <v>12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Identify any issues with workstations that may be preventing patches from being installed</v>
      </c>
      <c r="G7" s="1" t="str">
        <f>VLOOKUP($A7,Tasks!$A$2:$D$101,4,FALSE)</f>
        <v>Desktop</v>
      </c>
    </row>
    <row r="8" spans="1:7" x14ac:dyDescent="0.25">
      <c r="A8" t="s">
        <v>83</v>
      </c>
      <c r="B8" t="s">
        <v>48</v>
      </c>
      <c r="C8">
        <v>0.5</v>
      </c>
      <c r="D8" s="1">
        <f>_xlfn.IFNA(VLOOKUP(B8,'Freq Lookup'!$A$1:$B$6,2,FALSE)*C8, 0)</f>
        <v>0.5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Perform an audit of the client's switch configuration for issues</v>
      </c>
      <c r="G8" s="1" t="str">
        <f>VLOOKUP($A8,Tasks!$A$2:$D$101,4,FALSE)</f>
        <v>Security</v>
      </c>
    </row>
    <row r="9" spans="1:7" x14ac:dyDescent="0.25">
      <c r="A9" t="s">
        <v>103</v>
      </c>
      <c r="B9" t="s">
        <v>41</v>
      </c>
      <c r="C9">
        <v>1</v>
      </c>
      <c r="D9" s="1">
        <f>_xlfn.IFNA(VLOOKUP(B9,'Freq Lookup'!$A$1:$B$6,2,FALSE)*C9, 0)</f>
        <v>12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Utilizing Auvik, review the client's network for issues. Ensure all infrastructure devices are SNMP \ login integrated. Ensure that all devices classified appropraitely.</v>
      </c>
      <c r="G9" s="1" t="str">
        <f>VLOOKUP($A9,Tasks!$A$2:$D$101,4,FALSE)</f>
        <v>Network</v>
      </c>
    </row>
    <row r="10" spans="1:7" x14ac:dyDescent="0.25">
      <c r="A10" t="s">
        <v>114</v>
      </c>
      <c r="B10" s="1" t="s">
        <v>45</v>
      </c>
      <c r="C10" s="1">
        <v>1</v>
      </c>
      <c r="D10" s="1">
        <f>_xlfn.IFNA(VLOOKUP(B10,'Freq Lookup'!$A$1:$B$6,2,FALSE)*C10, 0)</f>
        <v>4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Update the client's Carbonite agents</v>
      </c>
      <c r="G10" s="1"/>
    </row>
    <row r="11" spans="1:7" x14ac:dyDescent="0.25">
      <c r="A11" t="s">
        <v>105</v>
      </c>
      <c r="B11" t="s">
        <v>51</v>
      </c>
      <c r="C11">
        <v>0.25</v>
      </c>
      <c r="D11" s="1">
        <f>_xlfn.IFNA(VLOOKUP(B11,'Freq Lookup'!$A$1:$B$6,2,FALSE)*C11, 0)</f>
        <v>13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Review the client's Carbonite backups for issues</v>
      </c>
      <c r="G11" s="1"/>
    </row>
    <row r="12" spans="1:7" x14ac:dyDescent="0.25">
      <c r="A12" s="1" t="s">
        <v>93</v>
      </c>
      <c r="B12" t="s">
        <v>45</v>
      </c>
      <c r="C12" s="1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Review the patch approval policies. Ensure all servers and workstations that are supposed to be automatically patched are (by being in the correct patch groups)</v>
      </c>
      <c r="G12" s="1" t="str">
        <f>VLOOKUP($A12,Tasks!$A$2:$D$101,4,FALSE)</f>
        <v>System</v>
      </c>
    </row>
    <row r="13" spans="1:7" x14ac:dyDescent="0.25">
      <c r="A13" t="s">
        <v>66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Update the firmware on the client's access points</v>
      </c>
      <c r="G13" s="1" t="str">
        <f>VLOOKUP($A13,Tasks!$A$2:$D$101,4,FALSE)</f>
        <v>Network</v>
      </c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B11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G30"/>
  <sheetViews>
    <sheetView workbookViewId="0">
      <selection activeCell="A23" sqref="A23:G23"/>
    </sheetView>
  </sheetViews>
  <sheetFormatPr defaultRowHeight="15" x14ac:dyDescent="0.25"/>
  <cols>
    <col min="1" max="1" width="54.28515625" bestFit="1" customWidth="1"/>
    <col min="2" max="2" width="12.42578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109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63</v>
      </c>
      <c r="B6" t="s">
        <v>45</v>
      </c>
      <c r="C6">
        <v>1</v>
      </c>
      <c r="D6" s="1">
        <f>_xlfn.IFNA(VLOOKUP(B6,'Freq Lookup'!$A$1:$B$6,2,FALSE)*C6, 0)</f>
        <v>4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Update vCenter to the latest patch for the currently installed version</v>
      </c>
      <c r="G6" s="1" t="str">
        <f>VLOOKUP($A6,Tasks!$A$2:$D$101,4,FALSE)</f>
        <v>System</v>
      </c>
    </row>
    <row r="7" spans="1:7" x14ac:dyDescent="0.25">
      <c r="A7" t="s">
        <v>66</v>
      </c>
      <c r="B7" t="s">
        <v>45</v>
      </c>
      <c r="C7">
        <v>0.5</v>
      </c>
      <c r="D7" s="1">
        <f>_xlfn.IFNA(VLOOKUP(B7,'Freq Lookup'!$A$1:$B$6,2,FALSE)*C7, 0)</f>
        <v>2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Update the firmware on the client's access points</v>
      </c>
      <c r="G7" s="1" t="str">
        <f>VLOOKUP($A7,Tasks!$A$2:$D$101,4,FALSE)</f>
        <v>Network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57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t="s">
        <v>44</v>
      </c>
      <c r="B10" t="s">
        <v>45</v>
      </c>
      <c r="C10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t="s">
        <v>58</v>
      </c>
      <c r="B11" t="s">
        <v>45</v>
      </c>
      <c r="C11">
        <v>2</v>
      </c>
      <c r="D11" s="1">
        <f>_xlfn.IFNA(VLOOKUP(B11,'Freq Lookup'!$A$1:$B$6,2,FALSE)*C11, 0)</f>
        <v>8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Install the latest ESXi patch for the currently installed version</v>
      </c>
      <c r="G11" s="1" t="str">
        <f>VLOOKUP($A11,Tasks!$A$2:$D$101,4,FALSE)</f>
        <v>System</v>
      </c>
    </row>
    <row r="12" spans="1:7" x14ac:dyDescent="0.25">
      <c r="A12" t="s">
        <v>46</v>
      </c>
      <c r="B12" t="s">
        <v>45</v>
      </c>
      <c r="C12">
        <v>2</v>
      </c>
      <c r="D12" s="1">
        <f>_xlfn.IFNA(VLOOKUP(B12,'Freq Lookup'!$A$1:$B$6,2,FALSE)*C12, 0)</f>
        <v>8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reccommended firewall firmware</v>
      </c>
      <c r="G12" s="1" t="str">
        <f>VLOOKUP($A12,Tasks!$A$2:$D$101,4,FALSE)</f>
        <v>Network</v>
      </c>
    </row>
    <row r="13" spans="1:7" x14ac:dyDescent="0.25">
      <c r="A13" t="s">
        <v>64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latest SQL service pack</v>
      </c>
      <c r="G13" s="1" t="str">
        <f>VLOOKUP($A13,Tasks!$A$2:$D$101,4,FALSE)</f>
        <v>Application</v>
      </c>
    </row>
    <row r="14" spans="1:7" x14ac:dyDescent="0.25">
      <c r="A14" t="s">
        <v>102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Install the latest Exchange rollup</v>
      </c>
      <c r="G14" s="1" t="str">
        <f>VLOOKUP($A14,Tasks!$A$2:$D$101,4,FALSE)</f>
        <v>Application</v>
      </c>
    </row>
    <row r="15" spans="1:7" x14ac:dyDescent="0.25">
      <c r="A15" t="s">
        <v>60</v>
      </c>
      <c r="B15" t="s">
        <v>116</v>
      </c>
      <c r="C15">
        <v>4</v>
      </c>
      <c r="D15" s="1">
        <f>_xlfn.IFNA(VLOOKUP(B15,'Freq Lookup'!$A$1:$B$6,2,FALSE)*C15, 0)</f>
        <v>8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t="s">
        <v>47</v>
      </c>
      <c r="B16" t="s">
        <v>48</v>
      </c>
      <c r="C16">
        <v>8</v>
      </c>
      <c r="D16" s="1">
        <f>_xlfn.IFNA(VLOOKUP(B16,'Freq Lookup'!$A$1:$B$6,2,FALSE)*C16, 0)</f>
        <v>8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Update the firmware on the client's switches</v>
      </c>
      <c r="G16" s="1" t="str">
        <f>VLOOKUP($A16,Tasks!$A$2:$D$101,4,FALSE)</f>
        <v>Network</v>
      </c>
    </row>
    <row r="17" spans="1:7" x14ac:dyDescent="0.25">
      <c r="A17" t="s">
        <v>61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client's router(s)</v>
      </c>
      <c r="G17" s="1" t="str">
        <f>VLOOKUP($A17,Tasks!$A$2:$D$101,4,FALSE)</f>
        <v>Network</v>
      </c>
    </row>
    <row r="18" spans="1:7" x14ac:dyDescent="0.25">
      <c r="A18" t="s">
        <v>91</v>
      </c>
      <c r="B18" t="s">
        <v>45</v>
      </c>
      <c r="C18">
        <v>4</v>
      </c>
      <c r="D18" s="1">
        <f>_xlfn.IFNA(VLOOKUP(B18,'Freq Lookup'!$A$1:$B$6,2,FALSE)*C18, 0)</f>
        <v>16</v>
      </c>
      <c r="E18" s="1" t="s">
        <v>92</v>
      </c>
      <c r="F18" s="1" t="str">
        <f>VLOOKUP(A18,Tasks!$A$2:$D$101,3,FALSE)</f>
        <v>Update the cloud Genix firmware - Touch base with Ben P before scheduling in order to determine the best firmware</v>
      </c>
      <c r="G18" s="1" t="str">
        <f>VLOOKUP($A18,Tasks!$A$2:$D$101,4,FALSE)</f>
        <v>Network</v>
      </c>
    </row>
    <row r="19" spans="1:7" x14ac:dyDescent="0.25">
      <c r="A19" t="s">
        <v>49</v>
      </c>
      <c r="B19" t="s">
        <v>48</v>
      </c>
      <c r="C19">
        <v>1</v>
      </c>
      <c r="D19" s="1">
        <f>_xlfn.IFNA(VLOOKUP(B19,'Freq Lookup'!$A$1:$B$6,2,FALSE)*C19, 0)</f>
        <v>1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Work with the account's vCIO or primary engineer to review the configuration of the client's Group policies. Ensure that the configuraiton is still optimal for the client's environment.</v>
      </c>
      <c r="G19" s="1" t="str">
        <f>VLOOKUP($A19,Tasks!$A$2:$D$101,4,FALSE)</f>
        <v>System</v>
      </c>
    </row>
    <row r="20" spans="1:7" x14ac:dyDescent="0.25">
      <c r="A20" s="1" t="s">
        <v>108</v>
      </c>
      <c r="B20" s="1" t="s">
        <v>51</v>
      </c>
      <c r="C20" s="1">
        <v>0.25</v>
      </c>
      <c r="D20" s="1">
        <f>_xlfn.IFNA(VLOOKUP(B20,'Freq Lookup'!$A$1:$B$6,2,FALSE)*C20, 0)</f>
        <v>13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Review the client's Datto backups for issues</v>
      </c>
      <c r="G20" s="1" t="str">
        <f>VLOOKUP($A20,Tasks!$A$2:$D$101,4,FALSE)</f>
        <v>System</v>
      </c>
    </row>
    <row r="21" spans="1:7" x14ac:dyDescent="0.25">
      <c r="A21" t="s">
        <v>83</v>
      </c>
      <c r="B21" t="s">
        <v>48</v>
      </c>
      <c r="C21" s="1">
        <v>4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Perform an audit of the client's switch configuration for issues</v>
      </c>
      <c r="G21" s="1" t="str">
        <f>VLOOKUP($A21,Tasks!$A$2:$D$101,4,FALSE)</f>
        <v>Security</v>
      </c>
    </row>
    <row r="22" spans="1:7" x14ac:dyDescent="0.25">
      <c r="A22" s="1" t="s">
        <v>69</v>
      </c>
      <c r="B22" t="s">
        <v>45</v>
      </c>
      <c r="C22" s="1">
        <v>4</v>
      </c>
      <c r="D22" s="1">
        <f>_xlfn.IFNA(VLOOKUP(B22,'Freq Lookup'!$A$1:$B$6,2,FALSE)*C22, 0)</f>
        <v>16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Update the firmware on the client's SAN</v>
      </c>
      <c r="G22" s="1" t="str">
        <f>VLOOKUP($A22,Tasks!$A$2:$D$101,4,FALSE)</f>
        <v>Storage</v>
      </c>
    </row>
    <row r="23" spans="1:7" x14ac:dyDescent="0.25">
      <c r="A23" s="1" t="s">
        <v>93</v>
      </c>
      <c r="B23" t="s">
        <v>45</v>
      </c>
      <c r="C23" s="1">
        <v>0.5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Review the patch approval policies. Ensure all servers and workstations that are supposed to be automatically patched are (by being in the correct patch groups)</v>
      </c>
      <c r="G23" s="1" t="str">
        <f>VLOOKUP($A23,Tasks!$A$2:$D$101,4,FALSE)</f>
        <v>System</v>
      </c>
    </row>
    <row r="24" spans="1:7" x14ac:dyDescent="0.25">
      <c r="A24" t="s">
        <v>103</v>
      </c>
      <c r="B24" t="s">
        <v>41</v>
      </c>
      <c r="C24">
        <v>1</v>
      </c>
      <c r="D24" s="1">
        <f>_xlfn.IFNA(VLOOKUP(B24,'Freq Lookup'!$A$1:$B$6,2,FALSE)*C24, 0)</f>
        <v>12</v>
      </c>
      <c r="E24" s="1" t="str">
        <f ca="1">VLOOKUP(MID(CELL("filename",$A$1),FIND("]",CELL("filename",$A$1))+1,31),Clients!$A$2:$B$27,2,FALSE)</f>
        <v>JStraub</v>
      </c>
      <c r="F24" s="1" t="str">
        <f>VLOOKUP(A24,Tasks!$A$2:$D$101,3,FALSE)</f>
        <v>Utilizing Auvik, review the client's network for issues. Ensure all infrastructure devices are SNMP \ login integrated. Ensure that all devices classified appropraitely.</v>
      </c>
      <c r="G24" s="1" t="str">
        <f>VLOOKUP($A24,Tasks!$A$2:$D$101,4,FALSE)</f>
        <v>Network</v>
      </c>
    </row>
    <row r="25" spans="1:7" x14ac:dyDescent="0.25">
      <c r="A25" t="s">
        <v>66</v>
      </c>
      <c r="B25" t="s">
        <v>45</v>
      </c>
      <c r="C25">
        <v>1</v>
      </c>
      <c r="D25" s="1">
        <f>_xlfn.IFNA(VLOOKUP(B25,'Freq Lookup'!$A$1:$B$6,2,FALSE)*C25, 0)</f>
        <v>4</v>
      </c>
      <c r="E25" s="1" t="str">
        <f ca="1">VLOOKUP(MID(CELL("filename",$A$1),FIND("]",CELL("filename",$A$1))+1,31),Clients!$A$2:$B$27,2,FALSE)</f>
        <v>JStraub</v>
      </c>
      <c r="F25" s="1" t="str">
        <f>VLOOKUP(A25,Tasks!$A$2:$D$101,3,FALSE)</f>
        <v>Update the firmware on the client's access points</v>
      </c>
      <c r="G25" s="1" t="str">
        <f>VLOOKUP($A25,Tasks!$A$2:$D$101,4,FALSE)</f>
        <v>Network</v>
      </c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B2:B19 B22:B23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G30"/>
  <sheetViews>
    <sheetView workbookViewId="0">
      <selection activeCell="A22" sqref="A22:G22"/>
    </sheetView>
  </sheetViews>
  <sheetFormatPr defaultRowHeight="15" x14ac:dyDescent="0.25"/>
  <cols>
    <col min="1" max="1" width="54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66</v>
      </c>
      <c r="B7" t="s">
        <v>45</v>
      </c>
      <c r="C7">
        <v>0.5</v>
      </c>
      <c r="D7" s="1">
        <f>_xlfn.IFNA(VLOOKUP(B7,'Freq Lookup'!$A$1:$B$6,2,FALSE)*C7, 0)</f>
        <v>2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Update the firmware on the client's access points</v>
      </c>
      <c r="G7" s="1" t="str">
        <f>VLOOKUP($A7,Tasks!$A$2:$D$101,4,FALSE)</f>
        <v>Network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Perform a file level restore utilizing the client's Veeam backups</v>
      </c>
      <c r="G9" s="1" t="str">
        <f>VLOOKUP($A9,Tasks!$A$2:$D$101,4,FALSE)</f>
        <v>System</v>
      </c>
    </row>
    <row r="10" spans="1:7" x14ac:dyDescent="0.25">
      <c r="A10" t="s">
        <v>57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iLO firmware on the cleint's servers</v>
      </c>
      <c r="G10" s="1" t="str">
        <f>VLOOKUP($A10,Tasks!$A$2:$D$101,4,FALSE)</f>
        <v>System</v>
      </c>
    </row>
    <row r="11" spans="1:7" x14ac:dyDescent="0.25">
      <c r="A11" t="s">
        <v>44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Update the firmware on the client's NAS device(s)</v>
      </c>
      <c r="G11" s="1" t="str">
        <f>VLOOKUP($A11,Tasks!$A$2:$D$101,4,FALSE)</f>
        <v>Storage</v>
      </c>
    </row>
    <row r="12" spans="1:7" x14ac:dyDescent="0.25">
      <c r="A12" t="s">
        <v>58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latest ESXi patch for the currently installed version</v>
      </c>
      <c r="G12" s="1" t="str">
        <f>VLOOKUP($A12,Tasks!$A$2:$D$101,4,FALSE)</f>
        <v>System</v>
      </c>
    </row>
    <row r="13" spans="1:7" x14ac:dyDescent="0.25">
      <c r="A13" t="s">
        <v>46</v>
      </c>
      <c r="B13" t="s">
        <v>45</v>
      </c>
      <c r="C13">
        <v>0.5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reccommended firewall firmware</v>
      </c>
      <c r="G13" s="1" t="str">
        <f>VLOOKUP($A13,Tasks!$A$2:$D$101,4,FALSE)</f>
        <v>Network</v>
      </c>
    </row>
    <row r="14" spans="1:7" x14ac:dyDescent="0.25">
      <c r="A14" t="s">
        <v>64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Install the latest SQL service pack</v>
      </c>
      <c r="G14" s="1" t="str">
        <f>VLOOKUP($A14,Tasks!$A$2:$D$101,4,FALSE)</f>
        <v>Application</v>
      </c>
    </row>
    <row r="15" spans="1:7" x14ac:dyDescent="0.25">
      <c r="A15" t="s">
        <v>59</v>
      </c>
      <c r="B15" t="s">
        <v>116</v>
      </c>
      <c r="C15">
        <v>0.5</v>
      </c>
      <c r="D15" s="1">
        <f>_xlfn.IFNA(VLOOKUP(B15,'Freq Lookup'!$A$1:$B$6,2,FALSE)*C15, 0)</f>
        <v>1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Work with the account's vCIO or primary engineer to review the configuration of the client's backup jobs. Ensure that the configuraiton is still optimal for the client's environment</v>
      </c>
      <c r="G15" s="1" t="str">
        <f>VLOOKUP($A15,Tasks!$A$2:$D$101,4,FALSE)</f>
        <v>System</v>
      </c>
    </row>
    <row r="16" spans="1:7" x14ac:dyDescent="0.25">
      <c r="A16" t="s">
        <v>60</v>
      </c>
      <c r="B16" t="s">
        <v>116</v>
      </c>
      <c r="C16">
        <v>1</v>
      </c>
      <c r="D16" s="1">
        <f>_xlfn.IFNA(VLOOKUP(B16,'Freq Lookup'!$A$1:$B$6,2,FALSE)*C16, 0)</f>
        <v>2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Update the firmware on the client's servers - For  HP servers check for a model specific BIOS update that may have been released after the latest ISO/</v>
      </c>
      <c r="G16" s="1" t="str">
        <f>VLOOKUP($A16,Tasks!$A$2:$D$101,4,FALSE)</f>
        <v>System</v>
      </c>
    </row>
    <row r="17" spans="1:7" x14ac:dyDescent="0.25">
      <c r="A17" t="s">
        <v>47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client's switches</v>
      </c>
      <c r="G17" s="1" t="str">
        <f>VLOOKUP($A17,Tasks!$A$2:$D$101,4,FALSE)</f>
        <v>Network</v>
      </c>
    </row>
    <row r="18" spans="1:7" x14ac:dyDescent="0.25">
      <c r="A18" t="s">
        <v>49</v>
      </c>
      <c r="B18" t="s">
        <v>48</v>
      </c>
      <c r="C18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t="s">
        <v>62</v>
      </c>
      <c r="B19" t="s">
        <v>45</v>
      </c>
      <c r="C19">
        <v>1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Install the latest version of Veeam Backup and Replication</v>
      </c>
      <c r="G19" s="1" t="str">
        <f>VLOOKUP($A19,Tasks!$A$2:$D$101,4,FALSE)</f>
        <v>System</v>
      </c>
    </row>
    <row r="20" spans="1:7" x14ac:dyDescent="0.25">
      <c r="A20" t="s">
        <v>83</v>
      </c>
      <c r="B20" t="s">
        <v>48</v>
      </c>
      <c r="C20" s="1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Perform an audit of the client's switch configuration for issues</v>
      </c>
      <c r="G20" s="1" t="str">
        <f>VLOOKUP($A20,Tasks!$A$2:$D$101,4,FALSE)</f>
        <v>Security</v>
      </c>
    </row>
    <row r="21" spans="1:7" x14ac:dyDescent="0.25">
      <c r="A21" t="s">
        <v>103</v>
      </c>
      <c r="B21" t="s">
        <v>41</v>
      </c>
      <c r="C21">
        <v>1</v>
      </c>
      <c r="D21" s="1">
        <f>_xlfn.IFNA(VLOOKUP(B21,'Freq Lookup'!$A$1:$B$6,2,FALSE)*C21, 0)</f>
        <v>12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Utilizing Auvik, review the client's network for issues. Ensure all infrastructure devices are SNMP \ login integrated. Ensure that all devices classified appropraitely.</v>
      </c>
      <c r="G21" s="1" t="str">
        <f>VLOOKUP($A21,Tasks!$A$2:$D$101,4,FALSE)</f>
        <v>Network</v>
      </c>
    </row>
    <row r="22" spans="1:7" x14ac:dyDescent="0.25">
      <c r="A22" s="1" t="s">
        <v>93</v>
      </c>
      <c r="B22" t="s">
        <v>45</v>
      </c>
      <c r="C22" s="1">
        <v>0.5</v>
      </c>
      <c r="D22" s="1">
        <f>_xlfn.IFNA(VLOOKUP(B22,'Freq Lookup'!$A$1:$B$6,2,FALSE)*C22, 0)</f>
        <v>2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Review the patch approval policies. Ensure all servers and workstations that are supposed to be automatically patched are (by being in the correct patch groups)</v>
      </c>
      <c r="G22" s="1" t="str">
        <f>VLOOKUP($A22,Tasks!$A$2:$D$101,4,FALSE)</f>
        <v>System</v>
      </c>
    </row>
    <row r="23" spans="1:7" x14ac:dyDescent="0.25">
      <c r="A23" t="s">
        <v>66</v>
      </c>
      <c r="B23" t="s">
        <v>45</v>
      </c>
      <c r="C23">
        <v>1</v>
      </c>
      <c r="D23" s="1">
        <f>_xlfn.IFNA(VLOOKUP(B23,'Freq Lookup'!$A$1:$B$6,2,FALSE)*C23, 0)</f>
        <v>4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Update the firmware on the client's access points</v>
      </c>
      <c r="G23" s="1" t="str">
        <f>VLOOKUP($A23,Tasks!$A$2:$D$101,4,FALSE)</f>
        <v>Network</v>
      </c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Calculator\[TGI BPA Proposal 09062019 DRAFT 1.xlsx]Frequnecy vlookup'!#REF!</xm:f>
          </x14:formula1>
          <xm:sqref>B2:B18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G30"/>
  <sheetViews>
    <sheetView workbookViewId="0">
      <selection activeCell="A22" sqref="A22:G22"/>
    </sheetView>
  </sheetViews>
  <sheetFormatPr defaultRowHeight="15" x14ac:dyDescent="0.25"/>
  <cols>
    <col min="1" max="1" width="54.28515625" bestFit="1" customWidth="1"/>
    <col min="2" max="2" width="12.42578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66</v>
      </c>
      <c r="B7" t="s">
        <v>45</v>
      </c>
      <c r="C7">
        <v>0.5</v>
      </c>
      <c r="D7" s="1">
        <f>_xlfn.IFNA(VLOOKUP(B7,'Freq Lookup'!$A$1:$B$6,2,FALSE)*C7, 0)</f>
        <v>2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the firmware on the client's access points</v>
      </c>
      <c r="G7" s="1" t="str">
        <f>VLOOKUP($A7,Tasks!$A$2:$D$101,4,FALSE)</f>
        <v>Network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Perform a file level restore utilizing the client's Veeam backups</v>
      </c>
      <c r="G9" s="1" t="str">
        <f>VLOOKUP($A9,Tasks!$A$2:$D$101,4,FALSE)</f>
        <v>System</v>
      </c>
    </row>
    <row r="10" spans="1:7" x14ac:dyDescent="0.25">
      <c r="A10" t="s">
        <v>57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Update the iLO firmware on the cleint's servers</v>
      </c>
      <c r="G10" s="1" t="str">
        <f>VLOOKUP($A10,Tasks!$A$2:$D$101,4,FALSE)</f>
        <v>System</v>
      </c>
    </row>
    <row r="11" spans="1:7" x14ac:dyDescent="0.25">
      <c r="A11" t="s">
        <v>44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Update the firmware on the client's NAS device(s)</v>
      </c>
      <c r="G11" s="1" t="str">
        <f>VLOOKUP($A11,Tasks!$A$2:$D$101,4,FALSE)</f>
        <v>Storage</v>
      </c>
    </row>
    <row r="12" spans="1:7" x14ac:dyDescent="0.25">
      <c r="A12" t="s">
        <v>58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Install the latest ESXi patch for the currently installed version</v>
      </c>
      <c r="G12" s="1" t="str">
        <f>VLOOKUP($A12,Tasks!$A$2:$D$101,4,FALSE)</f>
        <v>System</v>
      </c>
    </row>
    <row r="13" spans="1:7" x14ac:dyDescent="0.25">
      <c r="A13" t="s">
        <v>46</v>
      </c>
      <c r="B13" t="s">
        <v>45</v>
      </c>
      <c r="C13">
        <v>0.5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Install the reccommended firewall firmware</v>
      </c>
      <c r="G13" s="1" t="str">
        <f>VLOOKUP($A13,Tasks!$A$2:$D$101,4,FALSE)</f>
        <v>Network</v>
      </c>
    </row>
    <row r="14" spans="1:7" x14ac:dyDescent="0.25">
      <c r="A14" t="s">
        <v>59</v>
      </c>
      <c r="B14" t="s">
        <v>116</v>
      </c>
      <c r="C14">
        <v>0.5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Work with the account's vCIO or primary engineer to review the configuration of the client's backup jobs. Ensure that the configuraiton is still optimal for the client's environment</v>
      </c>
      <c r="G14" s="1" t="str">
        <f>VLOOKUP($A14,Tasks!$A$2:$D$101,4,FALSE)</f>
        <v>System</v>
      </c>
    </row>
    <row r="15" spans="1:7" x14ac:dyDescent="0.25">
      <c r="A15" t="s">
        <v>60</v>
      </c>
      <c r="B15" t="s">
        <v>116</v>
      </c>
      <c r="C15">
        <v>1</v>
      </c>
      <c r="D15" s="1">
        <f>_xlfn.IFNA(VLOOKUP(B15,'Freq Lookup'!$A$1:$B$6,2,FALSE)*C15, 0)</f>
        <v>2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t="s">
        <v>47</v>
      </c>
      <c r="B16" t="s">
        <v>48</v>
      </c>
      <c r="C16">
        <v>1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TSenn</v>
      </c>
      <c r="F16" s="1" t="str">
        <f>VLOOKUP(A16,Tasks!$A$2:$D$101,3,FALSE)</f>
        <v>Update the firmware on the client's switches</v>
      </c>
      <c r="G16" s="1" t="str">
        <f>VLOOKUP($A16,Tasks!$A$2:$D$101,4,FALSE)</f>
        <v>Network</v>
      </c>
    </row>
    <row r="17" spans="1:7" x14ac:dyDescent="0.25">
      <c r="A17" t="s">
        <v>65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TSenn</v>
      </c>
      <c r="F17" s="1" t="str">
        <f>VLOOKUP(A17,Tasks!$A$2:$D$101,3,FALSE)</f>
        <v>Update the firmware on the web controller of the client's UPS(s)</v>
      </c>
      <c r="G17" s="1" t="str">
        <f>VLOOKUP($A17,Tasks!$A$2:$D$101,4,FALSE)</f>
        <v>System</v>
      </c>
    </row>
    <row r="18" spans="1:7" x14ac:dyDescent="0.25">
      <c r="A18" t="s">
        <v>49</v>
      </c>
      <c r="B18" t="s">
        <v>48</v>
      </c>
      <c r="C18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TSenn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t="s">
        <v>62</v>
      </c>
      <c r="B19" t="s">
        <v>45</v>
      </c>
      <c r="C19">
        <v>1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TSenn</v>
      </c>
      <c r="F19" s="1" t="str">
        <f>VLOOKUP(A19,Tasks!$A$2:$D$101,3,FALSE)</f>
        <v>Install the latest version of Veeam Backup and Replication</v>
      </c>
      <c r="G19" s="1" t="str">
        <f>VLOOKUP($A19,Tasks!$A$2:$D$101,4,FALSE)</f>
        <v>System</v>
      </c>
    </row>
    <row r="20" spans="1:7" x14ac:dyDescent="0.25">
      <c r="A20" t="s">
        <v>83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TSenn</v>
      </c>
      <c r="F20" s="1" t="str">
        <f>VLOOKUP(A20,Tasks!$A$2:$D$101,3,FALSE)</f>
        <v>Perform an audit of the client's switch configuration for issues</v>
      </c>
      <c r="G20" s="1" t="str">
        <f>VLOOKUP($A20,Tasks!$A$2:$D$101,4,FALSE)</f>
        <v>Security</v>
      </c>
    </row>
    <row r="21" spans="1:7" x14ac:dyDescent="0.25">
      <c r="A21" t="s">
        <v>103</v>
      </c>
      <c r="B21" t="s">
        <v>41</v>
      </c>
      <c r="C21">
        <v>1</v>
      </c>
      <c r="D21" s="1">
        <f>_xlfn.IFNA(VLOOKUP(B21,'Freq Lookup'!$A$1:$B$6,2,FALSE)*C21, 0)</f>
        <v>12</v>
      </c>
      <c r="E21" s="1" t="str">
        <f ca="1">VLOOKUP(MID(CELL("filename",$A$1),FIND("]",CELL("filename",$A$1))+1,31),Clients!$A$2:$B$27,2,FALSE)</f>
        <v>TSenn</v>
      </c>
      <c r="F21" s="1" t="str">
        <f>VLOOKUP(A21,Tasks!$A$2:$D$101,3,FALSE)</f>
        <v>Utilizing Auvik, review the client's network for issues. Ensure all infrastructure devices are SNMP \ login integrated. Ensure that all devices classified appropraitely.</v>
      </c>
      <c r="G21" s="1" t="str">
        <f>VLOOKUP($A21,Tasks!$A$2:$D$101,4,FALSE)</f>
        <v>Network</v>
      </c>
    </row>
    <row r="22" spans="1:7" x14ac:dyDescent="0.25">
      <c r="A22" s="1" t="s">
        <v>93</v>
      </c>
      <c r="B22" t="s">
        <v>45</v>
      </c>
      <c r="C22" s="1">
        <v>0.5</v>
      </c>
      <c r="D22" s="1">
        <f>_xlfn.IFNA(VLOOKUP(B22,'Freq Lookup'!$A$1:$B$6,2,FALSE)*C22, 0)</f>
        <v>2</v>
      </c>
      <c r="E22" s="1" t="str">
        <f ca="1">VLOOKUP(MID(CELL("filename",$A$1),FIND("]",CELL("filename",$A$1))+1,31),Clients!$A$2:$B$27,2,FALSE)</f>
        <v>TSenn</v>
      </c>
      <c r="F22" s="1" t="str">
        <f>VLOOKUP(A22,Tasks!$A$2:$D$101,3,FALSE)</f>
        <v>Review the patch approval policies. Ensure all servers and workstations that are supposed to be automatically patched are (by being in the correct patch groups)</v>
      </c>
      <c r="G22" s="1" t="str">
        <f>VLOOKUP($A22,Tasks!$A$2:$D$101,4,FALSE)</f>
        <v>System</v>
      </c>
    </row>
    <row r="23" spans="1:7" x14ac:dyDescent="0.25">
      <c r="A23" t="s">
        <v>66</v>
      </c>
      <c r="B23" t="s">
        <v>45</v>
      </c>
      <c r="C23">
        <v>1</v>
      </c>
      <c r="D23" s="1">
        <f>_xlfn.IFNA(VLOOKUP(B23,'Freq Lookup'!$A$1:$B$6,2,FALSE)*C23, 0)</f>
        <v>4</v>
      </c>
      <c r="E23" s="1" t="str">
        <f ca="1">VLOOKUP(MID(CELL("filename",$A$1),FIND("]",CELL("filename",$A$1))+1,31),Clients!$A$2:$B$27,2,FALSE)</f>
        <v>TSenn</v>
      </c>
      <c r="F23" s="1" t="str">
        <f>VLOOKUP(A23,Tasks!$A$2:$D$101,3,FALSE)</f>
        <v>Update the firmware on the client's access points</v>
      </c>
      <c r="G23" s="1" t="str">
        <f>VLOOKUP($A23,Tasks!$A$2:$D$101,4,FALSE)</f>
        <v>Network</v>
      </c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Calculator\[TPS BPA Proposal 08302019 DRAFT 1.xlsx]Frequnecy vlookup'!#REF!</xm:f>
          </x14:formula1>
          <xm:sqref>B2:B18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B22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G29"/>
  <sheetViews>
    <sheetView workbookViewId="0">
      <selection activeCell="A25" sqref="A25:G25"/>
    </sheetView>
  </sheetViews>
  <sheetFormatPr defaultRowHeight="15" x14ac:dyDescent="0.25"/>
  <cols>
    <col min="1" max="1" width="54.28515625" bestFit="1" customWidth="1"/>
    <col min="2" max="2" width="12.425781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63</v>
      </c>
      <c r="B7" t="s">
        <v>45</v>
      </c>
      <c r="C7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vCenter to the latest patch for the currently installed version</v>
      </c>
      <c r="G7" s="1" t="str">
        <f>VLOOKUP($A7,Tasks!$A$2:$D$101,4,FALSE)</f>
        <v>System</v>
      </c>
    </row>
    <row r="8" spans="1:7" x14ac:dyDescent="0.25">
      <c r="A8" t="s">
        <v>66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Update the firmware on the client's access points</v>
      </c>
      <c r="G8" s="1" t="str">
        <f>VLOOKUP($A8,Tasks!$A$2:$D$101,4,FALSE)</f>
        <v>Network</v>
      </c>
    </row>
    <row r="9" spans="1:7" x14ac:dyDescent="0.25">
      <c r="A9" t="s">
        <v>55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Take a backup of the hypervisor configuration and store the data in ITG, attach to the appropriate client device</v>
      </c>
      <c r="G9" s="1" t="str">
        <f>VLOOKUP($A9,Tasks!$A$2:$D$101,4,FALSE)</f>
        <v>System</v>
      </c>
    </row>
    <row r="10" spans="1:7" x14ac:dyDescent="0.25">
      <c r="A10" t="s">
        <v>56</v>
      </c>
      <c r="B10" t="s">
        <v>45</v>
      </c>
      <c r="C10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Perform a file level restore utilizing the client's Veeam backups</v>
      </c>
      <c r="G10" s="1" t="str">
        <f>VLOOKUP($A10,Tasks!$A$2:$D$101,4,FALSE)</f>
        <v>System</v>
      </c>
    </row>
    <row r="11" spans="1:7" x14ac:dyDescent="0.25">
      <c r="A11" t="s">
        <v>67</v>
      </c>
      <c r="B11" t="s">
        <v>45</v>
      </c>
      <c r="C11">
        <v>0.5</v>
      </c>
      <c r="D11" s="1">
        <f>_xlfn.IFNA(VLOOKUP(B11,'Freq Lookup'!$A$1:$B$6,2,FALSE)*C11, 0)</f>
        <v>2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Perform a file level restore utilizing the client's Azure backups</v>
      </c>
      <c r="G11" s="1" t="str">
        <f>VLOOKUP($A11,Tasks!$A$2:$D$101,4,FALSE)</f>
        <v>System</v>
      </c>
    </row>
    <row r="12" spans="1:7" x14ac:dyDescent="0.25">
      <c r="A12" t="s">
        <v>57</v>
      </c>
      <c r="B12" t="s">
        <v>45</v>
      </c>
      <c r="C12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Update the iLO firmware on the cleint's servers</v>
      </c>
      <c r="G12" s="1" t="str">
        <f>VLOOKUP($A12,Tasks!$A$2:$D$101,4,FALSE)</f>
        <v>System</v>
      </c>
    </row>
    <row r="13" spans="1:7" x14ac:dyDescent="0.25">
      <c r="A13" t="s">
        <v>44</v>
      </c>
      <c r="B13" t="s">
        <v>45</v>
      </c>
      <c r="C13">
        <v>0.25</v>
      </c>
      <c r="D13" s="1">
        <f>_xlfn.IFNA(VLOOKUP(B13,'Freq Lookup'!$A$1:$B$6,2,FALSE)*C13, 0)</f>
        <v>1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Update the firmware on the client's NAS device(s)</v>
      </c>
      <c r="G13" s="1" t="str">
        <f>VLOOKUP($A13,Tasks!$A$2:$D$101,4,FALSE)</f>
        <v>Storage</v>
      </c>
    </row>
    <row r="14" spans="1:7" x14ac:dyDescent="0.25">
      <c r="A14" t="s">
        <v>58</v>
      </c>
      <c r="B14" t="s">
        <v>45</v>
      </c>
      <c r="C14">
        <v>2</v>
      </c>
      <c r="D14" s="1">
        <f>_xlfn.IFNA(VLOOKUP(B14,'Freq Lookup'!$A$1:$B$6,2,FALSE)*C14, 0)</f>
        <v>8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Install the latest ESXi patch for the currently installed version</v>
      </c>
      <c r="G14" s="1" t="str">
        <f>VLOOKUP($A14,Tasks!$A$2:$D$101,4,FALSE)</f>
        <v>System</v>
      </c>
    </row>
    <row r="15" spans="1:7" x14ac:dyDescent="0.25">
      <c r="A15" t="s">
        <v>46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Install the reccommended firewall firmware</v>
      </c>
      <c r="G15" s="1" t="str">
        <f>VLOOKUP($A15,Tasks!$A$2:$D$101,4,FALSE)</f>
        <v>Network</v>
      </c>
    </row>
    <row r="16" spans="1:7" x14ac:dyDescent="0.25">
      <c r="A16" t="s">
        <v>63</v>
      </c>
      <c r="B16" t="s">
        <v>45</v>
      </c>
      <c r="C16">
        <v>1</v>
      </c>
      <c r="D16" s="1">
        <f>_xlfn.IFNA(VLOOKUP(B16,'Freq Lookup'!$A$1:$B$6,2,FALSE)*C16, 0)</f>
        <v>4</v>
      </c>
      <c r="E16" s="1" t="str">
        <f ca="1">VLOOKUP(MID(CELL("filename",$A$1),FIND("]",CELL("filename",$A$1))+1,31),Clients!$A$2:$B$27,2,FALSE)</f>
        <v>TSenn</v>
      </c>
      <c r="F16" s="1" t="str">
        <f>VLOOKUP(A16,Tasks!$A$2:$D$101,3,FALSE)</f>
        <v>Update vCenter to the latest patch for the currently installed version</v>
      </c>
      <c r="G16" s="1" t="str">
        <f>VLOOKUP($A16,Tasks!$A$2:$D$101,4,FALSE)</f>
        <v>System</v>
      </c>
    </row>
    <row r="17" spans="1:7" x14ac:dyDescent="0.25">
      <c r="A17" t="s">
        <v>59</v>
      </c>
      <c r="B17" t="s">
        <v>116</v>
      </c>
      <c r="C17">
        <v>0.5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TSenn</v>
      </c>
      <c r="F17" s="1" t="str">
        <f>VLOOKUP(A17,Tasks!$A$2:$D$101,3,FALSE)</f>
        <v>Work with the account's vCIO or primary engineer to review the configuration of the client's backup jobs. Ensure that the configuraiton is still optimal for the client's environment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8</v>
      </c>
      <c r="D18" s="1">
        <f>_xlfn.IFNA(VLOOKUP(B18,'Freq Lookup'!$A$1:$B$6,2,FALSE)*C18, 0)</f>
        <v>8</v>
      </c>
      <c r="E18" s="1" t="str">
        <f ca="1">VLOOKUP(MID(CELL("filename",$A$1),FIND("]",CELL("filename",$A$1))+1,31),Clients!$A$2:$B$27,2,FALSE)</f>
        <v>TSenn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65</v>
      </c>
      <c r="B19" t="s">
        <v>48</v>
      </c>
      <c r="C19">
        <v>4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TSenn</v>
      </c>
      <c r="F19" s="1" t="str">
        <f>VLOOKUP(A19,Tasks!$A$2:$D$101,3,FALSE)</f>
        <v>Update the firmware on the web controller of the client's UPS(s)</v>
      </c>
      <c r="G19" s="1" t="str">
        <f>VLOOKUP($A19,Tasks!$A$2:$D$101,4,FALSE)</f>
        <v>System</v>
      </c>
    </row>
    <row r="20" spans="1:7" x14ac:dyDescent="0.25">
      <c r="A20" t="s">
        <v>49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TSenn</v>
      </c>
      <c r="F20" s="1" t="str">
        <f>VLOOKUP(A20,Tasks!$A$2:$D$101,3,FALSE)</f>
        <v>Work with the account's vCIO or primary engineer to review the configuration of the client's Group policies. Ensure that the configuraiton is still optimal for the client's environment.</v>
      </c>
      <c r="G20" s="1" t="str">
        <f>VLOOKUP($A20,Tasks!$A$2:$D$101,4,FALSE)</f>
        <v>System</v>
      </c>
    </row>
    <row r="21" spans="1:7" x14ac:dyDescent="0.25">
      <c r="A21" t="s">
        <v>62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TSenn</v>
      </c>
      <c r="F21" s="1" t="str">
        <f>VLOOKUP(A21,Tasks!$A$2:$D$101,3,FALSE)</f>
        <v>Install the latest version of Veeam Backup and Replication</v>
      </c>
      <c r="G21" s="1" t="str">
        <f>VLOOKUP($A21,Tasks!$A$2:$D$101,4,FALSE)</f>
        <v>System</v>
      </c>
    </row>
    <row r="22" spans="1:7" x14ac:dyDescent="0.25">
      <c r="A22" s="1" t="s">
        <v>76</v>
      </c>
      <c r="B22" t="s">
        <v>116</v>
      </c>
      <c r="C22" s="1">
        <v>4</v>
      </c>
      <c r="D22" s="1">
        <f>_xlfn.IFNA(VLOOKUP(B22,'Freq Lookup'!$A$1:$B$6,2,FALSE)*C22, 0)</f>
        <v>8</v>
      </c>
      <c r="E22" s="1" t="s">
        <v>77</v>
      </c>
      <c r="F22" s="1" t="str">
        <f>VLOOKUP(A22,Tasks!$A$2:$D$101,3,FALSE)</f>
        <v>Updatre the ASA's FMC and Firepower modules to a version that is compatible with the installed ASA software</v>
      </c>
      <c r="G22" s="1" t="str">
        <f>VLOOKUP($A22,Tasks!$A$2:$D$101,4,FALSE)</f>
        <v>Network</v>
      </c>
    </row>
    <row r="23" spans="1:7" x14ac:dyDescent="0.25">
      <c r="A23" t="s">
        <v>83</v>
      </c>
      <c r="B23" t="s">
        <v>48</v>
      </c>
      <c r="C23" s="1">
        <v>1</v>
      </c>
      <c r="D23" s="1">
        <f>_xlfn.IFNA(VLOOKUP(B23,'Freq Lookup'!$A$1:$B$6,2,FALSE)*C23, 0)</f>
        <v>1</v>
      </c>
      <c r="E23" s="1" t="str">
        <f ca="1">VLOOKUP(MID(CELL("filename",$A$1),FIND("]",CELL("filename",$A$1))+1,31),Clients!$A$2:$B$27,2,FALSE)</f>
        <v>TSenn</v>
      </c>
      <c r="F23" s="1" t="str">
        <f>VLOOKUP(A23,Tasks!$A$2:$D$101,3,FALSE)</f>
        <v>Perform an audit of the client's switch configuration for issues</v>
      </c>
      <c r="G23" s="1" t="str">
        <f>VLOOKUP($A23,Tasks!$A$2:$D$101,4,FALSE)</f>
        <v>Security</v>
      </c>
    </row>
    <row r="24" spans="1:7" x14ac:dyDescent="0.25">
      <c r="A24" t="s">
        <v>103</v>
      </c>
      <c r="B24" t="s">
        <v>41</v>
      </c>
      <c r="C24">
        <v>1</v>
      </c>
      <c r="D24" s="1">
        <f>_xlfn.IFNA(VLOOKUP(B24,'Freq Lookup'!$A$1:$B$6,2,FALSE)*C24, 0)</f>
        <v>12</v>
      </c>
      <c r="E24" s="1" t="str">
        <f ca="1">VLOOKUP(MID(CELL("filename",$A$1),FIND("]",CELL("filename",$A$1))+1,31),Clients!$A$2:$B$27,2,FALSE)</f>
        <v>TSenn</v>
      </c>
      <c r="F24" s="1" t="str">
        <f>VLOOKUP(A24,Tasks!$A$2:$D$101,3,FALSE)</f>
        <v>Utilizing Auvik, review the client's network for issues. Ensure all infrastructure devices are SNMP \ login integrated. Ensure that all devices classified appropraitely.</v>
      </c>
      <c r="G24" s="1" t="str">
        <f>VLOOKUP($A24,Tasks!$A$2:$D$101,4,FALSE)</f>
        <v>Network</v>
      </c>
    </row>
    <row r="25" spans="1:7" x14ac:dyDescent="0.25">
      <c r="A25" s="1" t="s">
        <v>93</v>
      </c>
      <c r="B25" t="s">
        <v>45</v>
      </c>
      <c r="C25" s="1">
        <v>0.5</v>
      </c>
      <c r="D25" s="1">
        <f>_xlfn.IFNA(VLOOKUP(B25,'Freq Lookup'!$A$1:$B$6,2,FALSE)*C25, 0)</f>
        <v>2</v>
      </c>
      <c r="E25" s="1" t="str">
        <f ca="1">VLOOKUP(MID(CELL("filename",$A$1),FIND("]",CELL("filename",$A$1))+1,31),Clients!$A$2:$B$27,2,FALSE)</f>
        <v>TSenn</v>
      </c>
      <c r="F25" s="1" t="str">
        <f>VLOOKUP(A25,Tasks!$A$2:$D$101,3,FALSE)</f>
        <v>Review the patch approval policies. Ensure all servers and workstations that are supposed to be automatically patched are (by being in the correct patch groups)</v>
      </c>
      <c r="G25" s="1" t="str">
        <f>VLOOKUP($A25,Tasks!$A$2:$D$101,4,FALSE)</f>
        <v>System</v>
      </c>
    </row>
    <row r="26" spans="1:7" x14ac:dyDescent="0.25">
      <c r="A26" t="s">
        <v>66</v>
      </c>
      <c r="B26" t="s">
        <v>45</v>
      </c>
      <c r="C26">
        <v>1</v>
      </c>
      <c r="D26" s="1">
        <f>_xlfn.IFNA(VLOOKUP(B26,'Freq Lookup'!$A$1:$B$6,2,FALSE)*C26, 0)</f>
        <v>4</v>
      </c>
      <c r="E26" s="1" t="str">
        <f ca="1">VLOOKUP(MID(CELL("filename",$A$1),FIND("]",CELL("filename",$A$1))+1,31),Clients!$A$2:$B$27,2,FALSE)</f>
        <v>TSenn</v>
      </c>
      <c r="F26" s="1" t="str">
        <f>VLOOKUP(A26,Tasks!$A$2:$D$101,3,FALSE)</f>
        <v>Update the firmware on the client's access points</v>
      </c>
      <c r="G26" s="1" t="str">
        <f>VLOOKUP($A26,Tasks!$A$2:$D$101,4,FALSE)</f>
        <v>Network</v>
      </c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</row>
  </sheetData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Calculator\[USF BPA Proposal 08302019 DRAFT 1.xlsx]Frequnecy vlookup'!#REF!</xm:f>
          </x14:formula1>
          <xm:sqref>B22 B2:B20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G30"/>
  <sheetViews>
    <sheetView workbookViewId="0">
      <selection activeCell="A7" sqref="A7:G7"/>
    </sheetView>
  </sheetViews>
  <sheetFormatPr defaultRowHeight="15" x14ac:dyDescent="0.25"/>
  <cols>
    <col min="1" max="1" width="31.5703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s="1" t="s">
        <v>43</v>
      </c>
      <c r="B2" s="1" t="s">
        <v>41</v>
      </c>
      <c r="C2" s="1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Bkew</v>
      </c>
      <c r="F2" s="1" t="str">
        <f>VLOOKUP(A2,Tasks!$A$2:$D$101,3,FALSE)</f>
        <v>Review the client's Office 365 portal for licensing or other issues</v>
      </c>
      <c r="G2" s="1" t="str">
        <f>VLOOKUP($A2,Tasks!$A$2:$D$101,4,FALSE)</f>
        <v>Cloud</v>
      </c>
    </row>
    <row r="3" spans="1:7" x14ac:dyDescent="0.25">
      <c r="A3" s="1" t="s">
        <v>66</v>
      </c>
      <c r="B3" s="1" t="s">
        <v>45</v>
      </c>
      <c r="C3" s="1">
        <v>0.5</v>
      </c>
      <c r="D3" s="1">
        <f>_xlfn.IFNA(VLOOKUP(B3,'Freq Lookup'!$A$1:$B$6,2,FALSE)*C3, 0)</f>
        <v>2</v>
      </c>
      <c r="E3" s="1" t="str">
        <f ca="1">VLOOKUP(MID(CELL("filename",$A$1),FIND("]",CELL("filename",$A$1))+1,31),Clients!$A$2:$B$27,2,FALSE)</f>
        <v>Bkew</v>
      </c>
      <c r="F3" s="1" t="str">
        <f>VLOOKUP(A3,Tasks!$A$2:$D$101,3,FALSE)</f>
        <v>Update the firmware on the client's access points</v>
      </c>
      <c r="G3" s="1" t="str">
        <f>VLOOKUP($A3,Tasks!$A$2:$D$101,4,FALSE)</f>
        <v>Network</v>
      </c>
    </row>
    <row r="4" spans="1:7" x14ac:dyDescent="0.25">
      <c r="A4" s="1" t="s">
        <v>46</v>
      </c>
      <c r="B4" s="1" t="s">
        <v>45</v>
      </c>
      <c r="C4" s="1">
        <v>0.5</v>
      </c>
      <c r="D4" s="1">
        <f>_xlfn.IFNA(VLOOKUP(B4,'Freq Lookup'!$A$1:$B$6,2,FALSE)*C4, 0)</f>
        <v>2</v>
      </c>
      <c r="E4" s="1" t="str">
        <f ca="1">VLOOKUP(MID(CELL("filename",$A$1),FIND("]",CELL("filename",$A$1))+1,31),Clients!$A$2:$B$27,2,FALSE)</f>
        <v>Bkew</v>
      </c>
      <c r="F4" s="1" t="str">
        <f>VLOOKUP(A4,Tasks!$A$2:$D$101,3,FALSE)</f>
        <v>Install the reccommended firewall firmware</v>
      </c>
      <c r="G4" s="1" t="str">
        <f>VLOOKUP($A4,Tasks!$A$2:$D$101,4,FALSE)</f>
        <v>Network</v>
      </c>
    </row>
    <row r="5" spans="1:7" x14ac:dyDescent="0.25">
      <c r="A5" s="1" t="s">
        <v>47</v>
      </c>
      <c r="B5" s="1" t="s">
        <v>48</v>
      </c>
      <c r="C5" s="1">
        <v>1</v>
      </c>
      <c r="D5" s="1">
        <f>_xlfn.IFNA(VLOOKUP(B5,'Freq Lookup'!$A$1:$B$6,2,FALSE)*C5, 0)</f>
        <v>1</v>
      </c>
      <c r="E5" s="1" t="str">
        <f ca="1">VLOOKUP(MID(CELL("filename",$A$1),FIND("]",CELL("filename",$A$1))+1,31),Clients!$A$2:$B$27,2,FALSE)</f>
        <v>Bkew</v>
      </c>
      <c r="F5" s="1" t="str">
        <f>VLOOKUP(A5,Tasks!$A$2:$D$101,3,FALSE)</f>
        <v>Update the firmware on the client's switches</v>
      </c>
      <c r="G5" s="1" t="str">
        <f>VLOOKUP($A5,Tasks!$A$2:$D$101,4,FALSE)</f>
        <v>Network</v>
      </c>
    </row>
    <row r="6" spans="1:7" x14ac:dyDescent="0.25">
      <c r="A6" s="1" t="s">
        <v>65</v>
      </c>
      <c r="B6" s="1" t="s">
        <v>48</v>
      </c>
      <c r="C6" s="1">
        <v>1</v>
      </c>
      <c r="D6" s="1">
        <f>_xlfn.IFNA(VLOOKUP(B6,'Freq Lookup'!$A$1:$B$6,2,FALSE)*C6, 0)</f>
        <v>1</v>
      </c>
      <c r="E6" s="1" t="str">
        <f ca="1">VLOOKUP(MID(CELL("filename",$A$1),FIND("]",CELL("filename",$A$1))+1,31),Clients!$A$2:$B$27,2,FALSE)</f>
        <v>Bkew</v>
      </c>
      <c r="F6" s="1" t="str">
        <f>VLOOKUP(A6,Tasks!$A$2:$D$101,3,FALSE)</f>
        <v>Update the firmware on the web controller of the client's UPS(s)</v>
      </c>
      <c r="G6" s="1" t="str">
        <f>VLOOKUP($A6,Tasks!$A$2:$D$101,4,FALSE)</f>
        <v>System</v>
      </c>
    </row>
    <row r="7" spans="1:7" x14ac:dyDescent="0.25">
      <c r="A7" s="1" t="s">
        <v>93</v>
      </c>
      <c r="B7" t="s">
        <v>45</v>
      </c>
      <c r="C7" s="1">
        <v>0.5</v>
      </c>
      <c r="D7" s="1">
        <f>_xlfn.IFNA(VLOOKUP(B7,'Freq Lookup'!$A$1:$B$6,2,FALSE)*C7, 0)</f>
        <v>2</v>
      </c>
      <c r="E7" s="1" t="str">
        <f ca="1">VLOOKUP(MID(CELL("filename",$A$1),FIND("]",CELL("filename",$A$1))+1,31),Clients!$A$2:$B$27,2,FALSE)</f>
        <v>Bkew</v>
      </c>
      <c r="F7" s="1" t="str">
        <f>VLOOKUP(A7,Tasks!$A$2:$D$101,3,FALSE)</f>
        <v>Review the patch approval policies. Ensure all servers and workstations that are supposed to be automatically patched are (by being in the correct patch groups)</v>
      </c>
      <c r="G7" s="1" t="str">
        <f>VLOOKUP($A7,Tasks!$A$2:$D$101,4,FALSE)</f>
        <v>System</v>
      </c>
    </row>
    <row r="8" spans="1:7" x14ac:dyDescent="0.25">
      <c r="A8" t="s">
        <v>66</v>
      </c>
      <c r="B8" t="s">
        <v>45</v>
      </c>
      <c r="C8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Bkew</v>
      </c>
      <c r="F8" s="1" t="str">
        <f>VLOOKUP(A8,Tasks!$A$2:$D$101,3,FALSE)</f>
        <v>Update the firmware on the client's access points</v>
      </c>
      <c r="G8" s="1" t="str">
        <f>VLOOKUP($A8,Tasks!$A$2:$D$101,4,FALSE)</f>
        <v>Network</v>
      </c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G30"/>
  <sheetViews>
    <sheetView workbookViewId="0">
      <selection activeCell="I25" sqref="I25"/>
    </sheetView>
  </sheetViews>
  <sheetFormatPr defaultRowHeight="15" x14ac:dyDescent="0.25"/>
  <cols>
    <col min="1" max="1" width="54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109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46</v>
      </c>
      <c r="B6" t="s">
        <v>45</v>
      </c>
      <c r="C6">
        <v>0.5</v>
      </c>
      <c r="D6" s="1">
        <f>_xlfn.IFNA(VLOOKUP(B6,'Freq Lookup'!$A$1:$B$6,2,FALSE)*C6, 0)</f>
        <v>2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Install the reccommended firewall firmware</v>
      </c>
      <c r="G6" s="1" t="str">
        <f>VLOOKUP($A6,Tasks!$A$2:$D$101,4,FALSE)</f>
        <v>Network</v>
      </c>
    </row>
    <row r="7" spans="1:7" x14ac:dyDescent="0.25">
      <c r="A7" t="s">
        <v>47</v>
      </c>
      <c r="B7" t="s">
        <v>48</v>
      </c>
      <c r="C7">
        <v>1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the firmware on the client's switches</v>
      </c>
      <c r="G7" s="1" t="str">
        <f>VLOOKUP($A7,Tasks!$A$2:$D$101,4,FALSE)</f>
        <v>Network</v>
      </c>
    </row>
    <row r="8" spans="1:7" x14ac:dyDescent="0.25">
      <c r="A8" t="s">
        <v>61</v>
      </c>
      <c r="B8" t="s">
        <v>48</v>
      </c>
      <c r="C8">
        <v>1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Update the firmware on the client's router(s)</v>
      </c>
      <c r="G8" s="1" t="str">
        <f>VLOOKUP($A8,Tasks!$A$2:$D$101,4,FALSE)</f>
        <v>Network</v>
      </c>
    </row>
    <row r="9" spans="1:7" x14ac:dyDescent="0.25">
      <c r="A9" t="s">
        <v>65</v>
      </c>
      <c r="B9" t="s">
        <v>48</v>
      </c>
      <c r="C9">
        <v>1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Update the firmware on the web controller of the client's UPS(s)</v>
      </c>
      <c r="G9" s="1" t="str">
        <f>VLOOKUP($A9,Tasks!$A$2:$D$101,4,FALSE)</f>
        <v>System</v>
      </c>
    </row>
    <row r="10" spans="1:7" x14ac:dyDescent="0.25">
      <c r="A10" t="s">
        <v>49</v>
      </c>
      <c r="B10" t="s">
        <v>48</v>
      </c>
      <c r="C10">
        <v>1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Work with the account's vCIO or primary engineer to review the configuration of the client's Group policies. Ensure that the configuraiton is still optimal for the client's environment.</v>
      </c>
      <c r="G10" s="1" t="str">
        <f>VLOOKUP($A10,Tasks!$A$2:$D$101,4,FALSE)</f>
        <v>System</v>
      </c>
    </row>
    <row r="11" spans="1:7" x14ac:dyDescent="0.25">
      <c r="A11" t="s">
        <v>105</v>
      </c>
      <c r="B11" t="s">
        <v>51</v>
      </c>
      <c r="C11">
        <v>0.25</v>
      </c>
      <c r="D11" s="1">
        <f>_xlfn.IFNA(VLOOKUP(B11,'Freq Lookup'!$A$1:$B$6,2,FALSE)*C11, 0)</f>
        <v>13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Review the client's Carbonite backups for issues</v>
      </c>
      <c r="G11" s="1" t="str">
        <f>VLOOKUP($A11,Tasks!$A$2:$D$101,4,FALSE)</f>
        <v>System</v>
      </c>
    </row>
    <row r="12" spans="1:7" x14ac:dyDescent="0.25">
      <c r="A12" t="s">
        <v>103</v>
      </c>
      <c r="B12" t="s">
        <v>41</v>
      </c>
      <c r="C12">
        <v>1</v>
      </c>
      <c r="D12" s="1">
        <f>_xlfn.IFNA(VLOOKUP(B12,'Freq Lookup'!$A$1:$B$6,2,FALSE)*C12, 0)</f>
        <v>12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Utilizing Auvik, review the client's network for issues. Ensure all infrastructure devices are SNMP \ login integrated. Ensure that all devices classified appropraitely.</v>
      </c>
      <c r="G12" s="1" t="str">
        <f>VLOOKUP($A12,Tasks!$A$2:$D$101,4,FALSE)</f>
        <v>Network</v>
      </c>
    </row>
    <row r="13" spans="1:7" x14ac:dyDescent="0.25">
      <c r="A13" t="s">
        <v>114</v>
      </c>
      <c r="B13" s="1" t="s">
        <v>45</v>
      </c>
      <c r="C13" s="1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Update the client's Carbonite agents</v>
      </c>
      <c r="G13" s="1" t="str">
        <f>VLOOKUP($A13,Tasks!$A$2:$D$101,4,FALSE)</f>
        <v>System</v>
      </c>
    </row>
    <row r="14" spans="1:7" x14ac:dyDescent="0.25">
      <c r="A14" s="1" t="s">
        <v>93</v>
      </c>
      <c r="B14" t="s">
        <v>45</v>
      </c>
      <c r="C14" s="1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Review the patch approval policies. Ensure all servers and workstations that are supposed to be automatically patched are (by being in the correct patch groups)</v>
      </c>
      <c r="G14" s="1" t="str">
        <f>VLOOKUP($A14,Tasks!$A$2:$D$101,4,FALSE)</f>
        <v>System</v>
      </c>
    </row>
    <row r="15" spans="1:7" x14ac:dyDescent="0.25">
      <c r="A15" t="s">
        <v>66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Update the firmware on the client's access points</v>
      </c>
      <c r="G15" s="1" t="str">
        <f>VLOOKUP($A15,Tasks!$A$2:$D$101,4,FALSE)</f>
        <v>Network</v>
      </c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'N:\Engineering\ITSP BPSA ESM\BPA - Best Practice Administration\BPA 5.0\Budget Calculator\[VLT BPA Proposal 09202019 DRAFT 2.xlsx]Frequnecy vlookup'!#REF!</xm:f>
          </x14:formula1>
          <xm:sqref>B2:B10</xm:sqref>
        </x14:dataValidation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B11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B14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30"/>
  <sheetViews>
    <sheetView workbookViewId="0">
      <selection activeCell="A20" sqref="A20"/>
    </sheetView>
  </sheetViews>
  <sheetFormatPr defaultRowHeight="15" x14ac:dyDescent="0.25"/>
  <cols>
    <col min="1" max="1" width="54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????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0.5</v>
      </c>
      <c r="D3" s="1">
        <f>_xlfn.IFNA(VLOOKUP(B3,'Freq Lookup'!$A$1:$B$6,2,FALSE)*C3, 0)</f>
        <v>6</v>
      </c>
      <c r="E3" s="1" t="str">
        <f ca="1">VLOOKUP(MID(CELL("filename",$A$1),FIND("]",CELL("filename",$A$1))+1,31),Clients!$A$2:$B$27,2,FALSE)</f>
        <v>????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????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68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????</v>
      </c>
      <c r="F5" s="1" t="str">
        <f>VLOOKUP(A5,Tasks!$A$2:$D$101,3,FALSE)</f>
        <v>Review the Azure portal for issues.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????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105</v>
      </c>
      <c r="B7" t="s">
        <v>41</v>
      </c>
      <c r="C7" s="1">
        <v>1</v>
      </c>
      <c r="D7" s="1">
        <f>_xlfn.IFNA(VLOOKUP(B7,'Freq Lookup'!$A$1:$B$6,2,FALSE)*C7, 0)</f>
        <v>12</v>
      </c>
      <c r="E7" s="1" t="str">
        <f ca="1">VLOOKUP(MID(CELL("filename",$A$1),FIND("]",CELL("filename",$A$1))+1,31),Clients!$A$2:$B$27,2,FALSE)</f>
        <v>????</v>
      </c>
      <c r="F7" s="1" t="str">
        <f>VLOOKUP(A7,Tasks!$A$2:$D$101,3,FALSE)</f>
        <v>Review the client's Carbonite backups for issues</v>
      </c>
      <c r="G7" s="1" t="str">
        <f>VLOOKUP($A7,Tasks!$A$2:$D$101,4,FALSE)</f>
        <v>System</v>
      </c>
    </row>
    <row r="8" spans="1:7" x14ac:dyDescent="0.25">
      <c r="A8" s="1" t="s">
        <v>79</v>
      </c>
      <c r="B8" t="s">
        <v>41</v>
      </c>
      <c r="C8" s="1">
        <v>1</v>
      </c>
      <c r="D8" s="1">
        <f>_xlfn.IFNA(VLOOKUP(B8,'Freq Lookup'!$A$1:$B$6,2,FALSE)*C8, 0)</f>
        <v>12</v>
      </c>
      <c r="E8" s="1" t="str">
        <f ca="1">VLOOKUP(MID(CELL("filename",$A$1),FIND("]",CELL("filename",$A$1))+1,31),Clients!$A$2:$B$27,2,FALSE)</f>
        <v>????</v>
      </c>
      <c r="F8" s="1" t="str">
        <f>VLOOKUP(A8,Tasks!$A$2:$D$101,3,FALSE)</f>
        <v>Review the client's users and PCs, make sure OneDrive, ESM and Carbonite are in alignment.</v>
      </c>
      <c r="G8" s="1" t="str">
        <f>VLOOKUP($A8,Tasks!$A$2:$D$101,4,FALSE)</f>
        <v>Application</v>
      </c>
    </row>
    <row r="9" spans="1:7" x14ac:dyDescent="0.25">
      <c r="A9" t="s">
        <v>114</v>
      </c>
      <c r="B9" s="1" t="s">
        <v>45</v>
      </c>
      <c r="C9" s="1">
        <v>1</v>
      </c>
      <c r="D9" s="1">
        <f>_xlfn.IFNA(VLOOKUP(B9,'Freq Lookup'!$A$1:$B$6,2,FALSE)*C9, 0)</f>
        <v>4</v>
      </c>
      <c r="E9" s="1" t="str">
        <f ca="1">VLOOKUP(MID(CELL("filename",$A$1),FIND("]",CELL("filename",$A$1))+1,31),Clients!$A$2:$B$27,2,FALSE)</f>
        <v>????</v>
      </c>
      <c r="F9" s="1" t="str">
        <f>VLOOKUP(A9,Tasks!$A$2:$D$101,3,FALSE)</f>
        <v>Update the client's Carbonite agents</v>
      </c>
      <c r="G9" s="1" t="str">
        <f>VLOOKUP($A9,Tasks!$A$2:$D$101,4,FALSE)</f>
        <v>System</v>
      </c>
    </row>
    <row r="10" spans="1:7" x14ac:dyDescent="0.25">
      <c r="A10" s="1" t="s">
        <v>93</v>
      </c>
      <c r="B10" t="s">
        <v>45</v>
      </c>
      <c r="C10" s="1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????</v>
      </c>
      <c r="F10" s="1" t="str">
        <f>VLOOKUP(A10,Tasks!$A$2:$D$101,3,FALSE)</f>
        <v>Review the patch approval policies. Ensure all servers and workstations that are supposed to be automatically patched are (by being in the correct patch groups)</v>
      </c>
      <c r="G10" s="1" t="str">
        <f>VLOOKUP($A10,Tasks!$A$2:$D$101,4,FALSE)</f>
        <v>System</v>
      </c>
    </row>
    <row r="11" spans="1:7" x14ac:dyDescent="0.25">
      <c r="A11" t="s">
        <v>66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????</v>
      </c>
      <c r="F11" s="1" t="str">
        <f>VLOOKUP(A11,Tasks!$A$2:$D$101,3,FALSE)</f>
        <v>Update the firmware on the client's access points</v>
      </c>
      <c r="G11" s="1" t="str">
        <f>VLOOKUP($A11,Tasks!$A$2:$D$101,4,FALSE)</f>
        <v>Network</v>
      </c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Calculator\[WMD BPA Proposal 09202019 DRAFT 1.xlsx]Frequnecy vlookup'!#REF!</xm:f>
          </x14:formula1>
          <xm:sqref>B2:B8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Clients</vt:lpstr>
      <vt:lpstr>CompanyIDs</vt:lpstr>
      <vt:lpstr>Freq Lookup</vt:lpstr>
      <vt:lpstr>Tasks</vt:lpstr>
      <vt:lpstr>ABM</vt:lpstr>
      <vt:lpstr>ADT</vt:lpstr>
      <vt:lpstr>AEP</vt:lpstr>
      <vt:lpstr>ARC</vt:lpstr>
      <vt:lpstr>BC</vt:lpstr>
      <vt:lpstr>BTS</vt:lpstr>
      <vt:lpstr>CPS</vt:lpstr>
      <vt:lpstr>EAS</vt:lpstr>
      <vt:lpstr>EFG</vt:lpstr>
      <vt:lpstr>ERG</vt:lpstr>
      <vt:lpstr>FEC</vt:lpstr>
      <vt:lpstr>FSD</vt:lpstr>
      <vt:lpstr>JGR</vt:lpstr>
      <vt:lpstr>KBH</vt:lpstr>
      <vt:lpstr>KII</vt:lpstr>
      <vt:lpstr>LSM</vt:lpstr>
      <vt:lpstr>MND</vt:lpstr>
      <vt:lpstr>RSB</vt:lpstr>
      <vt:lpstr>SOS</vt:lpstr>
      <vt:lpstr>SST</vt:lpstr>
      <vt:lpstr>TGI</vt:lpstr>
      <vt:lpstr>TPS</vt:lpstr>
      <vt:lpstr>USF</vt:lpstr>
      <vt:lpstr>USW</vt:lpstr>
      <vt:lpstr>VLT</vt:lpstr>
      <vt:lpstr>WMD</vt:lpstr>
    </vt:vector>
  </TitlesOfParts>
  <Company>Equilibrium IT Solutions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Deliberto</dc:creator>
  <cp:lastModifiedBy>Mike Deliberto</cp:lastModifiedBy>
  <dcterms:created xsi:type="dcterms:W3CDTF">2019-09-19T15:56:57Z</dcterms:created>
  <dcterms:modified xsi:type="dcterms:W3CDTF">2019-12-31T13:34:17Z</dcterms:modified>
</cp:coreProperties>
</file>